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1a4ad7549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91341a83a2b4021"/>
    <x:sheet xmlns:r="http://schemas.openxmlformats.org/officeDocument/2006/relationships" name="Movimientos" sheetId="2" r:id="Raea7dd2818e343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$#,##0.00;[Red]-$#,##0.00"/>
    <x:numFmt numFmtId="203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2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/>
    </x:xf>
    <x:xf numFmtId="203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0" fillId="0" borderId="5" xfId="0" applyNumberFormat="1" applyFont="1" applyFill="1" applyBorder="1"/>
    <x:xf numFmtId="0" fontId="3" fillId="3" borderId="6" xfId="0" applyNumberFormat="1" applyFont="1" applyFill="1" applyBorder="1"/>
    <x:xf numFmtId="0" fontId="0" fillId="0" borderId="7" xfId="0" applyNumberFormat="1" applyFont="1" applyFill="1" applyBorder="1"/>
    <x:xf numFmtId="0" fontId="3" fillId="3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0" xfId="0" applyNumberFormat="1" applyFont="1" applyFill="1" applyBorder="1"/>
    <x:xf numFmtId="0" fontId="3" fillId="4" borderId="10" xfId="0" applyNumberFormat="1" applyFont="1" applyFill="1" applyBorder="1"/>
    <x:xf numFmtId="202" fontId="0" fillId="0" borderId="1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5" borderId="11" xfId="0" applyNumberFormat="1" applyFont="1" applyFill="1" applyBorder="1"/>
    <x:xf numFmtId="0" fontId="4" fillId="6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b58ea0f6f43c1" /><Relationship Type="http://schemas.openxmlformats.org/officeDocument/2006/relationships/theme" Target="/xl/theme/theme1.xml" Id="R069fbd69b08b4906" /><Relationship Type="http://schemas.openxmlformats.org/officeDocument/2006/relationships/sharedStrings" Target="/xl/sharedStrings.xml" Id="R209fccf19b7340a2" /><Relationship Type="http://schemas.openxmlformats.org/officeDocument/2006/relationships/worksheet" Target="/xl/worksheets/sheet1.xml" Id="R791341a83a2b4021" /><Relationship Type="http://schemas.openxmlformats.org/officeDocument/2006/relationships/worksheet" Target="/xl/worksheets/sheet2.xml" Id="Raea7dd2818e34300" /></Relationships>
</file>

<file path=xl/tables/table1.xml><?xml version="1.0" encoding="utf-8"?>
<x:table xmlns:x="http://schemas.openxmlformats.org/spreadsheetml/2006/main" id="1" name="MovimientosTable" displayName="MovimientosTable" ref="A1:M597" headerRowCount="1" totalsRowCount="0" totalsRowShown="0">
  <x:autoFilter ref="A1:M597"/>
  <x:tableColumns count="13">
    <x:tableColumn id="1" name="Fecha"/>
    <x:tableColumn id="2" name="Referencia"/>
    <x:tableColumn id="3" name="Tipo de movimiento"/>
    <x:tableColumn id="4" name="Persona / beneficiario"/>
    <x:tableColumn id="5" name="Banco"/>
    <x:tableColumn id="6" name="Cuenta / CLABE"/>
    <x:tableColumn id="7" name="Detalle"/>
    <x:tableColumn id="8" name="Clave de rastreo"/>
    <x:tableColumn id="9" name="Concepto completo"/>
    <x:tableColumn id="10" name="Cargos"/>
    <x:tableColumn id="11" name="Abonos"/>
    <x:tableColumn id="12" name="Saldo"/>
    <x:tableColumn id="13" name="Página 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44eee09b0348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4" customHeight="1">
      <x:c r="A1" s="32" t="str">
        <x:v>Estado de cuenta - Agosto 2026</x:v>
      </x:c>
      <x:c r="B1" s="32"/>
      <x:c r="C1" s="32"/>
      <x:c r="D1" s="32"/>
      <x:c r="E1" s="32"/>
      <x:c r="F1" s="32"/>
    </x:row>
    <x:row r="3">
      <x:c r="A3" s="35" t="str">
        <x:v>Cuenta</x:v>
      </x:c>
      <x:c r="B3" s="41" t="str">
        <x:v>CUENTA 50073105932</x:v>
      </x:c>
      <x:c r="D3" s="45" t="str">
        <x:v>Concepto</x:v>
      </x:c>
      <x:c r="E3" s="45" t="str">
        <x:v>Estado de cuenta</x:v>
      </x:c>
      <x:c r="F3" s="45" t="str">
        <x:v>Excel</x:v>
      </x:c>
    </x:row>
    <x:row r="4">
      <x:c r="A4" s="37" t="str">
        <x:v>CLABE</x:v>
      </x:c>
      <x:c r="B4" s="42" t="str">
        <x:v>CLABE 036162500731059321</x:v>
      </x:c>
      <x:c r="D4" s="46" t="str">
        <x:v>Saldo anterior</x:v>
      </x:c>
      <x:c r="E4" s="47" t="n">
        <x:v>120304.8</x:v>
      </x:c>
      <x:c r="F4" s="47" t="n">
        <x:v>120304.8</x:v>
      </x:c>
    </x:row>
    <x:row r="5">
      <x:c r="A5" s="37" t="str">
        <x:v>Moneda</x:v>
      </x:c>
      <x:c r="B5" s="38" t="str">
        <x:v>MXP - Peso mexicano</x:v>
      </x:c>
      <x:c r="D5" s="46" t="str">
        <x:v>Abonos</x:v>
      </x:c>
      <x:c r="E5" s="47" t="n">
        <x:v>1447043.27</x:v>
      </x:c>
      <x:c r="F5" s="47" t="n">
        <x:f>SUM('Movimientos'!$K$2:$K$597)</x:f>
        <x:v>1447043.27</x:v>
      </x:c>
    </x:row>
    <x:row r="6">
      <x:c r="A6" s="37" t="str">
        <x:v>Periodo</x:v>
      </x:c>
      <x:c r="B6" s="38" t="str">
        <x:v>01 Ago. 2026 al 31 Ago. 2026</x:v>
      </x:c>
      <x:c r="D6" s="46" t="str">
        <x:v>Cargos</x:v>
      </x:c>
      <x:c r="E6" s="47" t="n">
        <x:v>1269275.8</x:v>
      </x:c>
      <x:c r="F6" s="47" t="n">
        <x:f>SUM('Movimientos'!$J$2:$J$597)</x:f>
        <x:v>1269275.7999999996</x:v>
      </x:c>
    </x:row>
    <x:row r="7">
      <x:c r="A7" s="37" t="str">
        <x:v>Fecha de corte</x:v>
      </x:c>
      <x:c r="B7" s="38" t="str">
        <x:v>31 Ago. 2026</x:v>
      </x:c>
      <x:c r="D7" s="46" t="str">
        <x:v>Saldo actual</x:v>
      </x:c>
      <x:c r="E7" s="47" t="n">
        <x:v>298072.27</x:v>
      </x:c>
      <x:c r="F7" s="47" t="n">
        <x:f>F4+F5-F6</x:f>
        <x:v>298072.2700000005</x:v>
      </x:c>
    </x:row>
    <x:row r="8">
      <x:c r="A8" s="37" t="str">
        <x:v>Movimientos extraídos</x:v>
      </x:c>
      <x:c r="B8" s="38" t="n">
        <x:v>596</x:v>
      </x:c>
      <x:c r="D8" s="46" t="str">
        <x:v>Saldo promedio</x:v>
      </x:c>
      <x:c r="E8" s="47" t="n">
        <x:v>321896.54</x:v>
      </x:c>
      <x:c r="F8" s="47" t="n">
        <x:v>321896.54</x:v>
      </x:c>
    </x:row>
    <x:row r="9">
      <x:c r="A9" s="37" t="str">
        <x:v>Archivo fuente</x:v>
      </x:c>
      <x:c r="B9" s="38" t="str">
        <x:v>consultar-cuenta.pdf</x:v>
      </x:c>
      <x:c r="D9" s="46" t="str">
        <x:v>Rendimientos</x:v>
      </x:c>
      <x:c r="E9" s="47" t="n">
        <x:v>1722.95</x:v>
      </x:c>
      <x:c r="F9" s="47" t="n">
        <x:v>1722.95</x:v>
      </x:c>
    </x:row>
    <x:row r="10">
      <x:c r="A10" s="39" t="str">
        <x:v>Páginas con movimientos</x:v>
      </x:c>
      <x:c r="B10" s="40" t="str">
        <x:v>2 a 55</x:v>
      </x:c>
    </x:row>
    <x:row r="11">
      <x:c r="D11" s="52" t="str">
        <x:v>Control</x:v>
      </x:c>
      <x:c r="E11" s="52" t="str">
        <x:v>Valor</x:v>
      </x:c>
      <x:c r="F11" s="52" t="str">
        <x:v>Resultado</x:v>
      </x:c>
    </x:row>
    <x:row r="12">
      <x:c r="D12" s="53" t="str">
        <x:v>Diferencia abonos</x:v>
      </x:c>
      <x:c r="E12" s="54" t="n">
        <x:f>F5-E5</x:f>
        <x:v>0</x:v>
      </x:c>
      <x:c r="F12" s="55" t="str">
        <x:f>IF(ABS(E12)&lt;0.01,"OK","REVISAR")</x:f>
        <x:v>OK</x:v>
      </x:c>
    </x:row>
    <x:row r="13">
      <x:c r="D13" s="53" t="str">
        <x:v>Diferencia cargos</x:v>
      </x:c>
      <x:c r="E13" s="54" t="n">
        <x:f>F6-E6</x:f>
        <x:v>-4.656612873077393e-10</x:v>
      </x:c>
      <x:c r="F13" s="55" t="str">
        <x:f>IF(ABS(E13)&lt;0.01,"OK","REVISAR")</x:f>
        <x:v>OK</x:v>
      </x:c>
    </x:row>
    <x:row r="14">
      <x:c r="D14" s="53" t="str">
        <x:v>Diferencia saldo final</x:v>
      </x:c>
      <x:c r="E14" s="54" t="n">
        <x:f>F7-E7</x:f>
        <x:v>4.656612873077393e-10</x:v>
      </x:c>
      <x:c r="F14" s="55" t="str">
        <x:f>IF(ABS(E14)&lt;0.01,"OK","REVISAR")</x:f>
        <x:v>OK</x:v>
      </x:c>
    </x:row>
    <x:row r="17">
      <x:c r="A17" s="59" t="str">
        <x:v>Nota: los campos Persona, Banco, Cuenta/CLABE, Detalle y Clave de rastreo se separaron automáticamente cuando la estructura del movimiento lo permitió. El concepto completo conserva el texto extraído para auditoría.</x:v>
      </x:c>
      <x:c r="B17" s="59"/>
      <x:c r="C17" s="59"/>
      <x:c r="D17" s="59"/>
      <x:c r="E17" s="59"/>
      <x:c r="F17" s="59"/>
    </x:row>
    <x:row r="18">
      <x:c r="A18" s="59"/>
      <x:c r="B18" s="59"/>
      <x:c r="C18" s="59"/>
      <x:c r="D18" s="59"/>
      <x:c r="E18" s="59"/>
      <x:c r="F18" s="59"/>
    </x:row>
  </x:sheetData>
  <x:mergeCells>
    <x:mergeCell ref="A1:F1"/>
    <x:mergeCell ref="A17:F18"/>
  </x:mergeCells>
  <x:conditionalFormatting sqref="F12:F14">
    <x:cfRule type="containsText" dxfId="0" priority="1" operator="containsText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30" hidden="0" customWidth="1"/>
    <x:col min="5" max="5" width="19" hidden="0" customWidth="1"/>
    <x:col min="6" max="6" width="23" hidden="0" customWidth="1"/>
    <x:col min="7" max="7" width="36" hidden="0" customWidth="1"/>
    <x:col min="8" max="8" width="34" hidden="0" customWidth="1"/>
    <x:col min="9" max="9" width="55" hidden="0" customWidth="1"/>
    <x:col min="10" max="10" width="15" hidden="0" customWidth="1"/>
    <x:col min="11" max="11" width="15" hidden="0" customWidth="1"/>
    <x:col min="12" max="12" width="15" hidden="0" customWidth="1"/>
    <x:col min="13" max="13" width="11" hidden="0" customWidth="1"/>
  </x:cols>
  <x:sheetData>
    <x:row r="1" ht="28" customHeight="1">
      <x:c r="A1" s="15" t="str">
        <x:v>Fecha</x:v>
      </x:c>
      <x:c r="B1" s="15" t="str">
        <x:v>Referencia</x:v>
      </x:c>
      <x:c r="C1" s="15" t="str">
        <x:v>Tipo de movimiento</x:v>
      </x:c>
      <x:c r="D1" s="15" t="str">
        <x:v>Persona / beneficiario</x:v>
      </x:c>
      <x:c r="E1" s="15" t="str">
        <x:v>Banco</x:v>
      </x:c>
      <x:c r="F1" s="15" t="str">
        <x:v>Cuenta / CLABE</x:v>
      </x:c>
      <x:c r="G1" s="15" t="str">
        <x:v>Detalle</x:v>
      </x:c>
      <x:c r="H1" s="15" t="str">
        <x:v>Clave de rastreo</x:v>
      </x:c>
      <x:c r="I1" s="15" t="str">
        <x:v>Concepto completo</x:v>
      </x:c>
      <x:c r="J1" s="15" t="str">
        <x:v>Cargos</x:v>
      </x:c>
      <x:c r="K1" s="15" t="str">
        <x:v>Abonos</x:v>
      </x:c>
      <x:c r="L1" s="15" t="str">
        <x:v>Saldo</x:v>
      </x:c>
      <x:c r="M1" s="15" t="str">
        <x:v>Página PDF</x:v>
      </x:c>
    </x:row>
    <x:row r="2" ht="30" customHeight="1">
      <x:c r="A2" s="16" t="n">
        <x:v>46235</x:v>
      </x:c>
      <x:c r="B2" s="17" t="str">
        <x:v>4084864754</x:v>
      </x:c>
      <x:c r="C2" s="18" t="str">
        <x:v>DEPOSITO SPEI</x:v>
      </x:c>
      <x:c r="D2" s="18" t="str">
        <x:v>CLAUDIA IVONNE LUNA PERALTA</x:v>
      </x:c>
      <x:c r="E2" s="18" t="str">
        <x:v>BANCOPPEL</x:v>
      </x:c>
      <x:c r="F2" s="17" t="str">
        <x:v>CTA 137040105041716851</x:v>
      </x:c>
      <x:c r="G2" s="19" t="str">
        <x:v>108260 Transf. a INMOVILIARIA</x:v>
      </x:c>
      <x:c r="H2" s="20" t="str">
        <x:v>RASTREO 50116851TRANSBPI11416818</x:v>
      </x:c>
      <x:c r="I2" s="19" t="str">
        <x:v>DEPOSITO SPEI | CLAUDIA IVONNE LUNA PERALTA | BANCOPPEL 137040105041716851 | 108260 Transf. a INMOVILIARIA | CLAVE DE RASTREO 50116851TRANSBPI11416818</x:v>
      </x:c>
      <x:c r="J2" s="21"/>
      <x:c r="K2" s="21" t="n">
        <x:v>1500</x:v>
      </x:c>
      <x:c r="L2" s="21" t="n">
        <x:v>121804.8</x:v>
      </x:c>
      <x:c r="M2" s="22" t="n">
        <x:v>2</x:v>
      </x:c>
    </x:row>
    <x:row r="3" ht="30" customHeight="1">
      <x:c r="A3" s="16" t="n">
        <x:v>46235</x:v>
      </x:c>
      <x:c r="B3" s="17" t="str">
        <x:v>4084910804</x:v>
      </x:c>
      <x:c r="C3" s="18" t="str">
        <x:v>DEPOSITO SPEI</x:v>
      </x:c>
      <x:c r="D3" s="18" t="str">
        <x:v>DANIEL GUADALUPE COTA MANRIQUEZ</x:v>
      </x:c>
      <x:c r="E3" s="18" t="str">
        <x:v>BANORTE</x:v>
      </x:c>
      <x:c r="F3" s="17" t="str">
        <x:v>CTA 072028012268501637</x:v>
      </x:c>
      <x:c r="G3" s="19" t="str">
        <x:v>260801 pago mens agosto 2026</x:v>
      </x:c>
      <x:c r="H3" s="20" t="str">
        <x:v>RASTREO 3843CP04202608015603850091</x:v>
      </x:c>
      <x:c r="I3" s="19" t="str">
        <x:v>DEPOSITO SPEI | DANIEL GUADALUPE COTA MANRIQUEZ | BANORTE 072028012268501637 | 260801 pago mens agosto 2026 | CLAVE DE RASTREO 3843CP04202608015603850091</x:v>
      </x:c>
      <x:c r="J3" s="21"/>
      <x:c r="K3" s="21" t="n">
        <x:v>1500</x:v>
      </x:c>
      <x:c r="L3" s="21" t="n">
        <x:v>123304.8</x:v>
      </x:c>
      <x:c r="M3" s="22" t="n">
        <x:v>2</x:v>
      </x:c>
    </x:row>
    <x:row r="4" ht="30" customHeight="1">
      <x:c r="A4" s="16" t="n">
        <x:v>46235</x:v>
      </x:c>
      <x:c r="B4" s="17" t="str">
        <x:v>4084973217</x:v>
      </x:c>
      <x:c r="C4" s="18" t="str">
        <x:v>DEPOSITO SPEI</x:v>
      </x:c>
      <x:c r="D4" s="18" t="str">
        <x:v>INGRID,GARCIA/MENDOZA</x:v>
      </x:c>
      <x:c r="E4" s="18" t="str">
        <x:v>BANAMEX</x:v>
      </x:c>
      <x:c r="F4" s="17" t="str">
        <x:v>CTA 002040902937551746</x:v>
      </x:c>
      <x:c r="G4" s="19" t="str">
        <x:v>10826 lote25Mzna9 agosto Ingrid Garcia Mendoza</x:v>
      </x:c>
      <x:c r="H4" s="20" t="str">
        <x:v>RASTREO 085905416870321369</x:v>
      </x:c>
      <x:c r="I4" s="19" t="str">
        <x:v>DEPOSITO SPEI | INGRID,GARCIA/MENDOZA | BANAMEX 002040902937551746 | 10826 lote25Mzna9 agosto Ingrid Garcia Mendoza | CLAVE DE RASTREO 085905416870321369</x:v>
      </x:c>
      <x:c r="J4" s="21"/>
      <x:c r="K4" s="21" t="n">
        <x:v>1500</x:v>
      </x:c>
      <x:c r="L4" s="21" t="n">
        <x:v>124804.8</x:v>
      </x:c>
      <x:c r="M4" s="22" t="n">
        <x:v>2</x:v>
      </x:c>
    </x:row>
    <x:row r="5" ht="30" customHeight="1">
      <x:c r="A5" s="16" t="n">
        <x:v>46235</x:v>
      </x:c>
      <x:c r="B5" s="17" t="str">
        <x:v>4084975889</x:v>
      </x:c>
      <x:c r="C5" s="18" t="str">
        <x:v>DEPOSITO SPEI</x:v>
      </x:c>
      <x:c r="D5" s="18" t="str">
        <x:v>INGRID,GARCIA/MENDOZA</x:v>
      </x:c>
      <x:c r="E5" s="18" t="str">
        <x:v>BANAMEX</x:v>
      </x:c>
      <x:c r="F5" s="17" t="str">
        <x:v>CTA 002040902937551746</x:v>
      </x:c>
      <x:c r="G5" s="19" t="str">
        <x:v>10826 lote26Mzna9 agosto Ingrid Garcia Mendoza</x:v>
      </x:c>
      <x:c r="H5" s="20" t="str">
        <x:v>RASTREO 085905456020321367</x:v>
      </x:c>
      <x:c r="I5" s="19" t="str">
        <x:v>DEPOSITO SPEI | INGRID,GARCIA/MENDOZA | BANAMEX 002040902937551746 | 10826 lote26Mzna9 agosto Ingrid Garcia Mendoza | CLAVE DE RASTREO 085905456020321367</x:v>
      </x:c>
      <x:c r="J5" s="21"/>
      <x:c r="K5" s="21" t="n">
        <x:v>1500</x:v>
      </x:c>
      <x:c r="L5" s="21" t="n">
        <x:v>126304.8</x:v>
      </x:c>
      <x:c r="M5" s="22" t="n">
        <x:v>2</x:v>
      </x:c>
    </x:row>
    <x:row r="6" ht="30" customHeight="1">
      <x:c r="A6" s="16" t="n">
        <x:v>46235</x:v>
      </x:c>
      <x:c r="B6" s="17" t="str">
        <x:v>4085001905</x:v>
      </x:c>
      <x:c r="C6" s="18" t="str">
        <x:v>DEPOSITO SPEI</x:v>
      </x:c>
      <x:c r="D6" s="18" t="str">
        <x:v>YESICA SELENI COTA CORREA</x:v>
      </x:c>
      <x:c r="E6" s="18" t="str">
        <x:v>BANORTE</x:v>
      </x:c>
      <x:c r="F6" s="17" t="str">
        <x:v>CTA 072730013002955891</x:v>
      </x:c>
      <x:c r="G6" s="19" t="str">
        <x:v>260801 M 26 L 31 Yesica seleni cota correa</x:v>
      </x:c>
      <x:c r="H6" s="20" t="str">
        <x:v>RASTREO 3843CP02202608015604194718</x:v>
      </x:c>
      <x:c r="I6" s="19" t="str">
        <x:v>DEPOSITO SPEI | YESICA SELENI COTA CORREA | BANORTE 072730013002955891 | 260801 M 26 L 31 Yesica seleni cota correa | CLAVE DE RASTREO 3843CP02202608015604194718</x:v>
      </x:c>
      <x:c r="J6" s="21"/>
      <x:c r="K6" s="21" t="n">
        <x:v>1500</x:v>
      </x:c>
      <x:c r="L6" s="21" t="n">
        <x:v>127804.8</x:v>
      </x:c>
      <x:c r="M6" s="22" t="n">
        <x:v>2</x:v>
      </x:c>
    </x:row>
    <x:row r="7" ht="30" customHeight="1">
      <x:c r="A7" s="16" t="n">
        <x:v>46235</x:v>
      </x:c>
      <x:c r="B7" s="17" t="str">
        <x:v>4085009149</x:v>
      </x:c>
      <x:c r="C7" s="18" t="str">
        <x:v>DEPOSITO SPEI</x:v>
      </x:c>
      <x:c r="D7" s="18" t="str">
        <x:v>MARIA TERESA DORAME REYES</x:v>
      </x:c>
      <x:c r="E7" s="18" t="str">
        <x:v>BANORTE</x:v>
      </x:c>
      <x:c r="F7" s="17" t="str">
        <x:v>CTA 072040013573653655</x:v>
      </x:c>
      <x:c r="G7" s="19" t="str">
        <x:v>260801 pago 13</x:v>
      </x:c>
      <x:c r="H7" s="20" t="str">
        <x:v>RASTREO 38432P06202608015604220390</x:v>
      </x:c>
      <x:c r="I7" s="19" t="str">
        <x:v>DEPOSITO SPEI | MARIA TERESA DORAME REYES | BANORTE 072040013573653655 | 260801 pago 13 | CLAVE DE RASTREO 38432P06202608015604220390</x:v>
      </x:c>
      <x:c r="J7" s="21"/>
      <x:c r="K7" s="21" t="n">
        <x:v>2388</x:v>
      </x:c>
      <x:c r="L7" s="21" t="n">
        <x:v>130192.8</x:v>
      </x:c>
      <x:c r="M7" s="22" t="n">
        <x:v>2</x:v>
      </x:c>
    </x:row>
    <x:row r="8" ht="30" customHeight="1">
      <x:c r="A8" s="16" t="n">
        <x:v>46235</x:v>
      </x:c>
      <x:c r="B8" s="17" t="str">
        <x:v>4085014659</x:v>
      </x:c>
      <x:c r="C8" s="18" t="str">
        <x:v>DEPOSITO SPEI</x:v>
      </x:c>
      <x:c r="D8" s="18" t="str">
        <x:v>MARIA TERESA DORAME REYES</x:v>
      </x:c>
      <x:c r="E8" s="18" t="str">
        <x:v>BANORTE</x:v>
      </x:c>
      <x:c r="F8" s="17" t="str">
        <x:v>CTA 072040013573653655</x:v>
      </x:c>
      <x:c r="G8" s="19" t="str">
        <x:v>260801 pago 14</x:v>
      </x:c>
      <x:c r="H8" s="20" t="str">
        <x:v>RASTREO 3843CP06202608015604240944</x:v>
      </x:c>
      <x:c r="I8" s="19" t="str">
        <x:v>DEPOSITO SPEI | MARIA TERESA DORAME REYES | BANORTE 072040013573653655 | 260801 pago 14 | CLAVE DE RASTREO 3843CP06202608015604240944</x:v>
      </x:c>
      <x:c r="J8" s="21"/>
      <x:c r="K8" s="21" t="n">
        <x:v>2388</x:v>
      </x:c>
      <x:c r="L8" s="21" t="n">
        <x:v>132580.8</x:v>
      </x:c>
      <x:c r="M8" s="22" t="n">
        <x:v>2</x:v>
      </x:c>
    </x:row>
    <x:row r="9" ht="30" customHeight="1">
      <x:c r="A9" s="16" t="n">
        <x:v>46235</x:v>
      </x:c>
      <x:c r="B9" s="17" t="str">
        <x:v>4085017513</x:v>
      </x:c>
      <x:c r="C9" s="18" t="str">
        <x:v>DEPOSITO SPEI</x:v>
      </x:c>
      <x:c r="D9" s="18" t="str">
        <x:v>ANGELINA GERARDO PAYAN</x:v>
      </x:c>
      <x:c r="E9" s="18" t="str">
        <x:v>BBVA MEXICO</x:v>
      </x:c>
      <x:c r="F9" s="17" t="str">
        <x:v>CTA 012780014396818844</x:v>
      </x:c>
      <x:c r="G9" s="19" t="str">
        <x:v>1707260 Manzana4Lote7</x:v>
      </x:c>
      <x:c r="H9" s="20" t="str">
        <x:v>RASTREO MBAN01002608030078125952</x:v>
      </x:c>
      <x:c r="I9" s="19" t="str">
        <x:v>DEPOSITO SPEI | ANGELINA GERARDO PAYAN | BBVA MEXICO 012780014396818844 | 1707260 Manzana4Lote7 | CLAVE DE RASTREO MBAN01002608030078125952</x:v>
      </x:c>
      <x:c r="J9" s="21"/>
      <x:c r="K9" s="21" t="n">
        <x:v>1500</x:v>
      </x:c>
      <x:c r="L9" s="21" t="n">
        <x:v>134080.8</x:v>
      </x:c>
      <x:c r="M9" s="22" t="n">
        <x:v>2</x:v>
      </x:c>
    </x:row>
    <x:row r="10" ht="30" customHeight="1">
      <x:c r="A10" s="16" t="n">
        <x:v>46235</x:v>
      </x:c>
      <x:c r="B10" s="17" t="str">
        <x:v>4085018982</x:v>
      </x:c>
      <x:c r="C10" s="18" t="str">
        <x:v>DEPOSITO SPEI</x:v>
      </x:c>
      <x:c r="D10" s="18" t="str">
        <x:v>ANGELINA GERARDO PAYAN</x:v>
      </x:c>
      <x:c r="E10" s="18" t="str">
        <x:v>BBVA MEXICO</x:v>
      </x:c>
      <x:c r="F10" s="17" t="str">
        <x:v>CTA 012780014396818844</x:v>
      </x:c>
      <x:c r="G10" s="19" t="str">
        <x:v>1707260 Manzana4Lote8</x:v>
      </x:c>
      <x:c r="H10" s="20" t="str">
        <x:v>RASTREO MBAN01002608030078134078</x:v>
      </x:c>
      <x:c r="I10" s="19" t="str">
        <x:v>DEPOSITO SPEI | ANGELINA GERARDO PAYAN | BBVA MEXICO 012780014396818844 | 1707260 Manzana4Lote8 | CLAVE DE RASTREO MBAN01002608030078134078</x:v>
      </x:c>
      <x:c r="J10" s="21"/>
      <x:c r="K10" s="21" t="n">
        <x:v>1500</x:v>
      </x:c>
      <x:c r="L10" s="21" t="n">
        <x:v>135580.8</x:v>
      </x:c>
      <x:c r="M10" s="22" t="n">
        <x:v>2</x:v>
      </x:c>
    </x:row>
    <x:row r="11" ht="30" customHeight="1">
      <x:c r="A11" s="16" t="n">
        <x:v>46235</x:v>
      </x:c>
      <x:c r="B11" s="17" t="str">
        <x:v>4085024964</x:v>
      </x:c>
      <x:c r="C11" s="18" t="str">
        <x:v>DEPOSITO SPEI</x:v>
      </x:c>
      <x:c r="D11" s="18" t="str">
        <x:v>MARTINA,GARCIA/GASTELUM</x:v>
      </x:c>
      <x:c r="E11" s="18" t="str">
        <x:v>BANAMEX</x:v>
      </x:c>
      <x:c r="F11" s="17" t="str">
        <x:v>CTA 002040900752716616</x:v>
      </x:c>
      <x:c r="G11" s="19" t="str">
        <x:v>10826 M4 L4</x:v>
      </x:c>
      <x:c r="H11" s="20" t="str">
        <x:v>RASTREO 085906284960321365</x:v>
      </x:c>
      <x:c r="I11" s="19" t="str">
        <x:v>DEPOSITO SPEI | MARTINA,GARCIA/GASTELUM | BANAMEX 002040900752716616 | 10826 M4 L4 | CLAVE DE RASTREO 085906284960321365</x:v>
      </x:c>
      <x:c r="J11" s="21"/>
      <x:c r="K11" s="21" t="n">
        <x:v>1500</x:v>
      </x:c>
      <x:c r="L11" s="21" t="n">
        <x:v>137080.8</x:v>
      </x:c>
      <x:c r="M11" s="22" t="n">
        <x:v>2</x:v>
      </x:c>
    </x:row>
    <x:row r="12" ht="30" customHeight="1">
      <x:c r="A12" s="16" t="n">
        <x:v>46235</x:v>
      </x:c>
      <x:c r="B12" s="17" t="str">
        <x:v>4085025767</x:v>
      </x:c>
      <x:c r="C12" s="18" t="str">
        <x:v>DEPOSITO SPEI</x:v>
      </x:c>
      <x:c r="D12" s="18" t="str">
        <x:v>BLANCA OLIVIA AYALA BUITIMEA</x:v>
      </x:c>
      <x:c r="E12" s="18" t="str">
        <x:v>BANCOPPEL</x:v>
      </x:c>
      <x:c r="F12" s="17" t="str">
        <x:v>CTA 137771100039965878</x:v>
      </x:c>
      <x:c r="G12" s="19" t="str">
        <x:v>108260 lote11 manzna13</x:v>
      </x:c>
      <x:c r="H12" s="20" t="str">
        <x:v>RASTREO 50115878TRANSBPI13655743</x:v>
      </x:c>
      <x:c r="I12" s="19" t="str">
        <x:v>DEPOSITO SPEI | BLANCA OLIVIA AYALA BUITIMEA | BANCOPPEL 137771100039965878 | 108260 lote11 manzna13 | CLAVE DE RASTREO 50115878TRANSBPI13655743</x:v>
      </x:c>
      <x:c r="J12" s="21"/>
      <x:c r="K12" s="21" t="n">
        <x:v>1500</x:v>
      </x:c>
      <x:c r="L12" s="21" t="n">
        <x:v>138580.8</x:v>
      </x:c>
      <x:c r="M12" s="22" t="n">
        <x:v>3</x:v>
      </x:c>
    </x:row>
    <x:row r="13" ht="30" customHeight="1">
      <x:c r="A13" s="16" t="n">
        <x:v>46235</x:v>
      </x:c>
      <x:c r="B13" s="17" t="str">
        <x:v>4085030222</x:v>
      </x:c>
      <x:c r="C13" s="18" t="str">
        <x:v>DEPOSITO SPEI</x:v>
      </x:c>
      <x:c r="D13" s="18" t="str">
        <x:v>MARTINA,GARCIA/GASTELUM</x:v>
      </x:c>
      <x:c r="E13" s="18" t="str">
        <x:v>BANAMEX</x:v>
      </x:c>
      <x:c r="F13" s="17" t="str">
        <x:v>CTA 002040900752716616</x:v>
      </x:c>
      <x:c r="G13" s="19" t="str">
        <x:v>10826 M4 L25</x:v>
      </x:c>
      <x:c r="H13" s="20" t="str">
        <x:v>RASTREO 085906385740321361</x:v>
      </x:c>
      <x:c r="I13" s="19" t="str">
        <x:v>DEPOSITO SPEI | MARTINA,GARCIA/GASTELUM | BANAMEX 002040900752716616 | 10826 M4 L25 | CLAVE DE RASTREO 085906385740321361</x:v>
      </x:c>
      <x:c r="J13" s="21"/>
      <x:c r="K13" s="21" t="n">
        <x:v>1500</x:v>
      </x:c>
      <x:c r="L13" s="21" t="n">
        <x:v>140080.8</x:v>
      </x:c>
      <x:c r="M13" s="22" t="n">
        <x:v>3</x:v>
      </x:c>
    </x:row>
    <x:row r="14" ht="30" customHeight="1">
      <x:c r="A14" s="16" t="n">
        <x:v>46235</x:v>
      </x:c>
      <x:c r="B14" s="17" t="str">
        <x:v>4085060602</x:v>
      </x:c>
      <x:c r="C14" s="18" t="str">
        <x:v>DEPOSITO SPEI</x:v>
      </x:c>
      <x:c r="D14" s="18" t="str">
        <x:v>ANIBAL YAÑEZ OSUNA</x:v>
      </x:c>
      <x:c r="E14" s="18" t="str">
        <x:v>BBVA MEXICO</x:v>
      </x:c>
      <x:c r="F14" s="17" t="str">
        <x:v>CTA 012180015592819275</x:v>
      </x:c>
      <x:c r="G14" s="19" t="str">
        <x:v>2206260 Manzana 28 Lote 1</x:v>
      </x:c>
      <x:c r="H14" s="20" t="str">
        <x:v>RASTREO MBAN01002608030078374111</x:v>
      </x:c>
      <x:c r="I14" s="19" t="str">
        <x:v>DEPOSITO SPEI | ANIBAL YAÑEZ OSUNA | BBVA MEXICO 012180015592819275 | 2206260 Manzana 28 Lote 1 | CLAVE DE RASTREO MBAN01002608030078374111</x:v>
      </x:c>
      <x:c r="J14" s="21"/>
      <x:c r="K14" s="21" t="n">
        <x:v>2934.22</x:v>
      </x:c>
      <x:c r="L14" s="21" t="n">
        <x:v>143015.02</x:v>
      </x:c>
      <x:c r="M14" s="22" t="n">
        <x:v>3</x:v>
      </x:c>
    </x:row>
    <x:row r="15" ht="30" customHeight="1">
      <x:c r="A15" s="16" t="n">
        <x:v>46235</x:v>
      </x:c>
      <x:c r="B15" s="17" t="str">
        <x:v>4085064443</x:v>
      </x:c>
      <x:c r="C15" s="18" t="str">
        <x:v>DEPOSITO SPEI</x:v>
      </x:c>
      <x:c r="D15" s="18" t="str">
        <x:v>GUADALUPE ABIGAIL MELENDREZ GARCIA</x:v>
      </x:c>
      <x:c r="E15" s="18" t="str">
        <x:v>BBVA MEXICO</x:v>
      </x:c>
      <x:c r="F15" s="17" t="str">
        <x:v>CTA 012180015327973690</x:v>
      </x:c>
      <x:c r="G15" s="19" t="str">
        <x:v>2206260 M9L27 julio</x:v>
      </x:c>
      <x:c r="H15" s="20" t="str">
        <x:v>RASTREO MBAN01002608030078395857</x:v>
      </x:c>
      <x:c r="I15" s="19" t="str">
        <x:v>DEPOSITO SPEI | GUADALUPE ABIGAIL MELENDREZ GARCIA | BBVA MEXICO 012180015327973690 | 2206260 M9L27 julio | CLAVE DE RASTREO MBAN01002608030078395857</x:v>
      </x:c>
      <x:c r="J15" s="21"/>
      <x:c r="K15" s="21" t="n">
        <x:v>1500</x:v>
      </x:c>
      <x:c r="L15" s="21" t="n">
        <x:v>144515.02</x:v>
      </x:c>
      <x:c r="M15" s="22" t="n">
        <x:v>3</x:v>
      </x:c>
    </x:row>
    <x:row r="16" ht="30" customHeight="1">
      <x:c r="A16" s="16" t="n">
        <x:v>46235</x:v>
      </x:c>
      <x:c r="B16" s="17" t="str">
        <x:v>4085112764</x:v>
      </x:c>
      <x:c r="C16" s="18" t="str">
        <x:v>DEPOSITO SPEI</x:v>
      </x:c>
      <x:c r="D16" s="18" t="str">
        <x:v>JOSE ALBERTO ROCHA MARTINEZ</x:v>
      </x:c>
      <x:c r="E16" s="18" t="str">
        <x:v>Mercado Pago W</x:v>
      </x:c>
      <x:c r="F16" s="17" t="str">
        <x:v>CTA 722969020356636970</x:v>
      </x:c>
      <x:c r="G16" s="19" t="str">
        <x:v>1148101 PV MZ26 LT6, Alondra Bernardino</x:v>
      </x:c>
      <x:c r="H16" s="20" t="str">
        <x:v>RASTREO CPO170690148101</x:v>
      </x:c>
      <x:c r="I16" s="19" t="str">
        <x:v>DEPOSITO SPEI | JOSE ALBERTO ROCHA MARTINEZ | Mercado Pago W 722969020356636970 | 1148101 PV MZ26 LT6, Alondra Bernardino | CLAVE DE RASTREO CPO170690148101</x:v>
      </x:c>
      <x:c r="J16" s="21"/>
      <x:c r="K16" s="21" t="n">
        <x:v>1500</x:v>
      </x:c>
      <x:c r="L16" s="21" t="n">
        <x:v>146015.02</x:v>
      </x:c>
      <x:c r="M16" s="22" t="n">
        <x:v>3</x:v>
      </x:c>
    </x:row>
    <x:row r="17" ht="30" customHeight="1">
      <x:c r="A17" s="16" t="n">
        <x:v>46235</x:v>
      </x:c>
      <x:c r="B17" s="17" t="str">
        <x:v>4085123632</x:v>
      </x:c>
      <x:c r="C17" s="18" t="str">
        <x:v>GASOL POLANCO II MX</x:v>
      </x:c>
      <x:c r="D17" s="18" t="str"/>
      <x:c r="E17" s="18" t="str"/>
      <x:c r="F17" s="17" t="str"/>
      <x:c r="G17" s="19" t="str"/>
      <x:c r="H17" s="20" t="str"/>
      <x:c r="I17" s="19" t="str">
        <x:v>GASOL POLANCO II MX</x:v>
      </x:c>
      <x:c r="J17" s="21" t="n">
        <x:v>500</x:v>
      </x:c>
      <x:c r="K17" s="21"/>
      <x:c r="L17" s="21" t="n">
        <x:v>145515.02</x:v>
      </x:c>
      <x:c r="M17" s="22" t="n">
        <x:v>3</x:v>
      </x:c>
    </x:row>
    <x:row r="18" ht="30" customHeight="1">
      <x:c r="A18" s="16" t="n">
        <x:v>46235</x:v>
      </x:c>
      <x:c r="B18" s="17" t="str">
        <x:v>4085123661</x:v>
      </x:c>
      <x:c r="C18" s="18" t="str">
        <x:v>GAS COLONIAS MX</x:v>
      </x:c>
      <x:c r="D18" s="18" t="str"/>
      <x:c r="E18" s="18" t="str"/>
      <x:c r="F18" s="17" t="str"/>
      <x:c r="G18" s="19" t="str"/>
      <x:c r="H18" s="20" t="str"/>
      <x:c r="I18" s="19" t="str">
        <x:v>GAS COLONIAS MX</x:v>
      </x:c>
      <x:c r="J18" s="21" t="n">
        <x:v>400</x:v>
      </x:c>
      <x:c r="K18" s="21"/>
      <x:c r="L18" s="21" t="n">
        <x:v>145115.02</x:v>
      </x:c>
      <x:c r="M18" s="22" t="n">
        <x:v>3</x:v>
      </x:c>
    </x:row>
    <x:row r="19" ht="30" customHeight="1">
      <x:c r="A19" s="16" t="n">
        <x:v>46235</x:v>
      </x:c>
      <x:c r="B19" s="17" t="str">
        <x:v>4085123688</x:v>
      </x:c>
      <x:c r="C19" s="18" t="str">
        <x:v>OXXO PADRE KINO LAP MX</x:v>
      </x:c>
      <x:c r="D19" s="18" t="str"/>
      <x:c r="E19" s="18" t="str"/>
      <x:c r="F19" s="17" t="str"/>
      <x:c r="G19" s="19" t="str"/>
      <x:c r="H19" s="20" t="str"/>
      <x:c r="I19" s="19" t="str">
        <x:v>OXXO PADRE KINO LAP MX</x:v>
      </x:c>
      <x:c r="J19" s="21" t="n">
        <x:v>119</x:v>
      </x:c>
      <x:c r="K19" s="21"/>
      <x:c r="L19" s="21" t="n">
        <x:v>144996.02</x:v>
      </x:c>
      <x:c r="M19" s="22" t="n">
        <x:v>3</x:v>
      </x:c>
    </x:row>
    <x:row r="20" ht="30" customHeight="1">
      <x:c r="A20" s="16" t="n">
        <x:v>46235</x:v>
      </x:c>
      <x:c r="B20" s="17" t="str">
        <x:v>4085123688</x:v>
      </x:c>
      <x:c r="C20" s="18" t="str">
        <x:v>RETIRO EN COMERCIO</x:v>
      </x:c>
      <x:c r="D20" s="18" t="str"/>
      <x:c r="E20" s="18" t="str"/>
      <x:c r="F20" s="17" t="str"/>
      <x:c r="G20" s="19" t="str">
        <x:v>OXXO PADRE KINO LAP MX CCO 8605231N4</x:v>
      </x:c>
      <x:c r="H20" s="20" t="str"/>
      <x:c r="I20" s="19" t="str">
        <x:v>RETIRO EN COMERCIO | OXXO PADRE KINO LAP MX CCO 8605231N4</x:v>
      </x:c>
      <x:c r="J20" s="21" t="n">
        <x:v>1000</x:v>
      </x:c>
      <x:c r="K20" s="21"/>
      <x:c r="L20" s="21" t="n">
        <x:v>143996.02</x:v>
      </x:c>
      <x:c r="M20" s="22" t="n">
        <x:v>3</x:v>
      </x:c>
    </x:row>
    <x:row r="21" ht="30" customHeight="1">
      <x:c r="A21" s="16" t="n">
        <x:v>46235</x:v>
      </x:c>
      <x:c r="B21" s="17" t="str">
        <x:v>8202628934</x:v>
      </x:c>
      <x:c r="C21" s="18" t="str">
        <x:v>TRANSFERENCIA SPEI</x:v>
      </x:c>
      <x:c r="D21" s="18" t="str">
        <x:v>Miguel Beltran</x:v>
      </x:c>
      <x:c r="E21" s="18" t="str">
        <x:v>BBVA MEXICO</x:v>
      </x:c>
      <x:c r="F21" s="17" t="str">
        <x:v>CTA 4152314364182207</x:v>
      </x:c>
      <x:c r="G21" s="19" t="str">
        <x:v>20260801 Pago | 036NAPP01082026289346709 RFC NO DISPONIBLE</x:v>
      </x:c>
      <x:c r="H21" s="20" t="str"/>
      <x:c r="I21" s="19" t="str">
        <x:v>TRANSFERENCIA SPEI | Miguel Beltran | BBVA MEXICO 4152314364182207 | 20260801 Pago | 036NAPP01082026289346709 RFC NO DISPONIBLE</x:v>
      </x:c>
      <x:c r="J21" s="21" t="n">
        <x:v>10000</x:v>
      </x:c>
      <x:c r="K21" s="21"/>
      <x:c r="L21" s="21" t="n">
        <x:v>133996.02</x:v>
      </x:c>
      <x:c r="M21" s="22" t="n">
        <x:v>3</x:v>
      </x:c>
    </x:row>
    <x:row r="22" ht="30" customHeight="1">
      <x:c r="A22" s="16" t="n">
        <x:v>46235</x:v>
      </x:c>
      <x:c r="B22" s="17" t="str">
        <x:v>4085166865</x:v>
      </x:c>
      <x:c r="C22" s="18" t="str">
        <x:v>DEPOSITO SPEI</x:v>
      </x:c>
      <x:c r="D22" s="18" t="str">
        <x:v>ADRIEL ANTONIO NIETO HIGUERA</x:v>
      </x:c>
      <x:c r="E22" s="18" t="str">
        <x:v>BANCOPPEL</x:v>
      </x:c>
      <x:c r="F22" s="17" t="str">
        <x:v>CTA 137040102617921471</x:v>
      </x:c>
      <x:c r="G22" s="19" t="str">
        <x:v>108260 AdrielantonionietohigueraL6M2</x:v>
      </x:c>
      <x:c r="H22" s="20" t="str">
        <x:v>RASTREO 50111471TRANSBPI15153700</x:v>
      </x:c>
      <x:c r="I22" s="19" t="str">
        <x:v>DEPOSITO SPEI | ADRIEL ANTONIO NIETO HIGUERA | BANCOPPEL 137040102617921471 | 108260 AdrielantonionietohigueraL6M2 | CLAVE DE RASTREO 50111471TRANSBPI15153700</x:v>
      </x:c>
      <x:c r="J22" s="21"/>
      <x:c r="K22" s="21" t="n">
        <x:v>1500</x:v>
      </x:c>
      <x:c r="L22" s="21" t="n">
        <x:v>135496.02</x:v>
      </x:c>
      <x:c r="M22" s="22" t="n">
        <x:v>3</x:v>
      </x:c>
    </x:row>
    <x:row r="23" ht="30" customHeight="1">
      <x:c r="A23" s="16" t="n">
        <x:v>46235</x:v>
      </x:c>
      <x:c r="B23" s="17" t="str">
        <x:v>4085265579</x:v>
      </x:c>
      <x:c r="C23" s="18" t="str">
        <x:v>DEPOSITO SPEI</x:v>
      </x:c>
      <x:c r="D23" s="18" t="str">
        <x:v>AMERICA JOHANA GERALDO MARTINEZ</x:v>
      </x:c>
      <x:c r="E23" s="18" t="str">
        <x:v>BBVA MEXICO</x:v>
      </x:c>
      <x:c r="F23" s="17" t="str">
        <x:v>CTA 012042015908072427</x:v>
      </x:c>
      <x:c r="G23" s="19" t="str">
        <x:v>2206260 PV M12 L4 JohanaGeraldoTerreno</x:v>
      </x:c>
      <x:c r="H23" s="20" t="str">
        <x:v>RASTREO MBAN01002608030079100317</x:v>
      </x:c>
      <x:c r="I23" s="19" t="str">
        <x:v>DEPOSITO SPEI | AMERICA JOHANA GERALDO MARTINEZ | BBVA MEXICO 012042015908072427 | 2206260 PV M12 L4 JohanaGeraldoTerreno | CLAVE DE RASTREO MBAN01002608030079100317</x:v>
      </x:c>
      <x:c r="J23" s="21"/>
      <x:c r="K23" s="21" t="n">
        <x:v>1500</x:v>
      </x:c>
      <x:c r="L23" s="21" t="n">
        <x:v>136996.02</x:v>
      </x:c>
      <x:c r="M23" s="22" t="n">
        <x:v>3</x:v>
      </x:c>
    </x:row>
    <x:row r="24" ht="30" customHeight="1">
      <x:c r="A24" s="16" t="n">
        <x:v>46235</x:v>
      </x:c>
      <x:c r="B24" s="17" t="str">
        <x:v>4085266260</x:v>
      </x:c>
      <x:c r="C24" s="18" t="str">
        <x:v>DEPOSITO SPEI</x:v>
      </x:c>
      <x:c r="D24" s="18" t="str">
        <x:v>GUILLERMO SANTIAGO ALVAREZ MARRON</x:v>
      </x:c>
      <x:c r="E24" s="18" t="str">
        <x:v>BBVA MEXICO</x:v>
      </x:c>
      <x:c r="F24" s="17" t="str">
        <x:v>CTA 012040015600847347</x:v>
      </x:c>
      <x:c r="G24" s="19" t="str">
        <x:v>2206260 mza 9 lte24 palo verde</x:v>
      </x:c>
      <x:c r="H24" s="20" t="str">
        <x:v>RASTREO MBAN01002608030079102843</x:v>
      </x:c>
      <x:c r="I24" s="19" t="str">
        <x:v>DEPOSITO SPEI | GUILLERMO SANTIAGO ALVAREZ MARRON | BBVA MEXICO 012040015600847347 | 2206260 mza 9 lte24 palo verde | CLAVE DE RASTREO MBAN01002608030079102843</x:v>
      </x:c>
      <x:c r="J24" s="21"/>
      <x:c r="K24" s="21" t="n">
        <x:v>3000</x:v>
      </x:c>
      <x:c r="L24" s="21" t="n">
        <x:v>139996.02</x:v>
      </x:c>
      <x:c r="M24" s="22" t="n">
        <x:v>4</x:v>
      </x:c>
    </x:row>
    <x:row r="25" ht="30" customHeight="1">
      <x:c r="A25" s="16" t="n">
        <x:v>46235</x:v>
      </x:c>
      <x:c r="B25" s="17" t="str">
        <x:v>4085284269</x:v>
      </x:c>
      <x:c r="C25" s="18" t="str">
        <x:v>DEPOSITO SPEI</x:v>
      </x:c>
      <x:c r="D25" s="18" t="str">
        <x:v>FLORES VALENZUELA JOSE LEONARDO</x:v>
      </x:c>
      <x:c r="E25" s="18" t="str">
        <x:v>AZTECA</x:v>
      </x:c>
      <x:c r="F25" s="17" t="str">
        <x:v>CTA 127040013433068280</x:v>
      </x:c>
      <x:c r="G25" s="19" t="str">
        <x:v>1059321 pago de Rosa Cecilia Leyva Ortega</x:v>
      </x:c>
      <x:c r="H25" s="20" t="str">
        <x:v>RASTREO 260803070505733642I</x:v>
      </x:c>
      <x:c r="I25" s="19" t="str">
        <x:v>DEPOSITO SPEI | FLORES VALENZUELA JOSE LEONARDO | AZTECA 127040013433068280 | 1059321 pago de Rosa Cecilia Leyva Ortega | CLAVE DE RASTREO 260803070505733642I</x:v>
      </x:c>
      <x:c r="J25" s="21"/>
      <x:c r="K25" s="21" t="n">
        <x:v>10000</x:v>
      </x:c>
      <x:c r="L25" s="21" t="n">
        <x:v>149996.02</x:v>
      </x:c>
      <x:c r="M25" s="22" t="n">
        <x:v>4</x:v>
      </x:c>
    </x:row>
    <x:row r="26" ht="30" customHeight="1">
      <x:c r="A26" s="16" t="n">
        <x:v>46235</x:v>
      </x:c>
      <x:c r="B26" s="17" t="str">
        <x:v>4085404768</x:v>
      </x:c>
      <x:c r="C26" s="18" t="str">
        <x:v>DEPOSITO SPEI</x:v>
      </x:c>
      <x:c r="D26" s="18" t="str">
        <x:v>HETZA MUNIRY CRISTOBAL JIMENEZ</x:v>
      </x:c>
      <x:c r="E26" s="18" t="str">
        <x:v>Mercado Pago W</x:v>
      </x:c>
      <x:c r="F26" s="17" t="str">
        <x:v>CTA 722969010578182115</x:v>
      </x:c>
      <x:c r="G26" s="19" t="str">
        <x:v>8275243 Pv Manzana 19 Lote 6</x:v>
      </x:c>
      <x:c r="H26" s="20" t="str">
        <x:v>RASTREO CPO170708275243</x:v>
      </x:c>
      <x:c r="I26" s="19" t="str">
        <x:v>DEPOSITO SPEI | HETZA MUNIRY CRISTOBAL JIMENEZ | Mercado Pago W 722969010578182115 | 8275243 Pv Manzana 19 Lote 6 | CLAVE DE RASTREO CPO170708275243</x:v>
      </x:c>
      <x:c r="J26" s="21"/>
      <x:c r="K26" s="21" t="n">
        <x:v>1500</x:v>
      </x:c>
      <x:c r="L26" s="21" t="n">
        <x:v>151496.02</x:v>
      </x:c>
      <x:c r="M26" s="22" t="n">
        <x:v>4</x:v>
      </x:c>
    </x:row>
    <x:row r="27" ht="30" customHeight="1">
      <x:c r="A27" s="16" t="n">
        <x:v>46235</x:v>
      </x:c>
      <x:c r="B27" s="17" t="str">
        <x:v>4085407558</x:v>
      </x:c>
      <x:c r="C27" s="18" t="str">
        <x:v>DEPOSITO SPEI</x:v>
      </x:c>
      <x:c r="D27" s="18" t="str">
        <x:v>HETZA MUNIRY CRISTOBAL JIMENEZ</x:v>
      </x:c>
      <x:c r="E27" s="18" t="str">
        <x:v>Mercado Pago W</x:v>
      </x:c>
      <x:c r="F27" s="17" t="str">
        <x:v>CTA 722969010578182115</x:v>
      </x:c>
      <x:c r="G27" s="19" t="str">
        <x:v>9054775 Pv Manzana 19 Lote 5</x:v>
      </x:c>
      <x:c r="H27" s="20" t="str">
        <x:v>RASTREO CPO170709054775</x:v>
      </x:c>
      <x:c r="I27" s="19" t="str">
        <x:v>DEPOSITO SPEI | HETZA MUNIRY CRISTOBAL JIMENEZ | Mercado Pago W 722969010578182115 | 9054775 Pv Manzana 19 Lote 5 | CLAVE DE RASTREO CPO170709054775</x:v>
      </x:c>
      <x:c r="J27" s="21"/>
      <x:c r="K27" s="21" t="n">
        <x:v>2944</x:v>
      </x:c>
      <x:c r="L27" s="21" t="n">
        <x:v>154440.02</x:v>
      </x:c>
      <x:c r="M27" s="22" t="n">
        <x:v>4</x:v>
      </x:c>
    </x:row>
    <x:row r="28" ht="30" customHeight="1">
      <x:c r="A28" s="16" t="n">
        <x:v>46235</x:v>
      </x:c>
      <x:c r="B28" s="17" t="str">
        <x:v>4085544744</x:v>
      </x:c>
      <x:c r="C28" s="18" t="str">
        <x:v>DEPOSITO SPEI</x:v>
      </x:c>
      <x:c r="D28" s="18" t="str">
        <x:v>JUAN CARLOS SANDOVAL VALDEZ</x:v>
      </x:c>
      <x:c r="E28" s="18" t="str">
        <x:v>BANORTE</x:v>
      </x:c>
      <x:c r="F28" s="17" t="str">
        <x:v>CTA 072040012364949139</x:v>
      </x:c>
      <x:c r="G28" s="19" t="str">
        <x:v>260801 juan carlos sandoval valdez mna28lte5</x:v>
      </x:c>
      <x:c r="H28" s="20" t="str">
        <x:v>RASTREO 38432P03202608015605671917</x:v>
      </x:c>
      <x:c r="I28" s="19" t="str">
        <x:v>DEPOSITO SPEI | JUAN CARLOS SANDOVAL VALDEZ | BANORTE 072040012364949139 | 260801 juan carlos sandoval valdez mna28lte5 | CLAVE DE RASTREO 38432P03202608015605671917</x:v>
      </x:c>
      <x:c r="J28" s="21"/>
      <x:c r="K28" s="21" t="n">
        <x:v>1500</x:v>
      </x:c>
      <x:c r="L28" s="21" t="n">
        <x:v>155940.02</x:v>
      </x:c>
      <x:c r="M28" s="22" t="n">
        <x:v>4</x:v>
      </x:c>
    </x:row>
    <x:row r="29" ht="30" customHeight="1">
      <x:c r="A29" s="16" t="n">
        <x:v>46235</x:v>
      </x:c>
      <x:c r="B29" s="17" t="str">
        <x:v>8202628940</x:v>
      </x:c>
      <x:c r="C29" s="18" t="str">
        <x:v>TRANSFERENCIA SPEI</x:v>
      </x:c>
      <x:c r="D29" s="18" t="str">
        <x:v>NICOLAS RAMIREZ JAUREGUI</x:v>
      </x:c>
      <x:c r="E29" s="18" t="str">
        <x:v>AZTECA</x:v>
      </x:c>
      <x:c r="F29" s="17" t="str">
        <x:v>CTA 127040013310986896</x:v>
      </x:c>
      <x:c r="G29" s="19" t="str">
        <x:v>20260801 Pago | 036NAPP01082026289400982 RFC NO DISPONIBLE</x:v>
      </x:c>
      <x:c r="H29" s="20" t="str"/>
      <x:c r="I29" s="19" t="str">
        <x:v>TRANSFERENCIA SPEI | NICOLAS RAMIREZ JAUREGUI | AZTECA 127040013310986896 | 20260801 Pago | 036NAPP01082026289400982 RFC NO DISPONIBLE</x:v>
      </x:c>
      <x:c r="J29" s="21" t="n">
        <x:v>1350</x:v>
      </x:c>
      <x:c r="K29" s="21"/>
      <x:c r="L29" s="21" t="n">
        <x:v>154590.02</x:v>
      </x:c>
      <x:c r="M29" s="22" t="n">
        <x:v>4</x:v>
      </x:c>
    </x:row>
    <x:row r="30" ht="30" customHeight="1">
      <x:c r="A30" s="16" t="n">
        <x:v>46235</x:v>
      </x:c>
      <x:c r="B30" s="17" t="str">
        <x:v>4085597699</x:v>
      </x:c>
      <x:c r="C30" s="18" t="str">
        <x:v>DEPOSITO SPEI</x:v>
      </x:c>
      <x:c r="D30" s="18" t="str">
        <x:v>ROSA MARIA MICHACA ANDRADE</x:v>
      </x:c>
      <x:c r="E30" s="18" t="str">
        <x:v>BANCOPPEL</x:v>
      </x:c>
      <x:c r="F30" s="17" t="str">
        <x:v>CTA 137040101336815377</x:v>
      </x:c>
      <x:c r="G30" s="19" t="str">
        <x:v>108261 rosa maria michaca M12L26 paloverde</x:v>
      </x:c>
      <x:c r="H30" s="20" t="str">
        <x:v>RASTREO 50115377TRANSBPI20321542</x:v>
      </x:c>
      <x:c r="I30" s="19" t="str">
        <x:v>DEPOSITO SPEI | ROSA MARIA MICHACA ANDRADE | BANCOPPEL 137040101336815377 | 108261 rosa maria michaca M12L26 paloverde | CLAVE DE RASTREO 50115377TRANSBPI20321542</x:v>
      </x:c>
      <x:c r="J30" s="21"/>
      <x:c r="K30" s="21" t="n">
        <x:v>1500</x:v>
      </x:c>
      <x:c r="L30" s="21" t="n">
        <x:v>156090.02</x:v>
      </x:c>
      <x:c r="M30" s="22" t="n">
        <x:v>4</x:v>
      </x:c>
    </x:row>
    <x:row r="31" ht="30" customHeight="1">
      <x:c r="A31" s="16" t="n">
        <x:v>46235</x:v>
      </x:c>
      <x:c r="B31" s="17" t="str">
        <x:v>4085602897</x:v>
      </x:c>
      <x:c r="C31" s="18" t="str">
        <x:v>DEPOSITO SPEI</x:v>
      </x:c>
      <x:c r="D31" s="18" t="str">
        <x:v>ROSA MARIA MICHACA ANDRADE</x:v>
      </x:c>
      <x:c r="E31" s="18" t="str">
        <x:v>BANCOPPEL</x:v>
      </x:c>
      <x:c r="F31" s="17" t="str">
        <x:v>CTA 137040101336815377</x:v>
      </x:c>
      <x:c r="G31" s="19" t="str">
        <x:v>108262 rosa maria michaca M12L27palo verde</x:v>
      </x:c>
      <x:c r="H31" s="20" t="str">
        <x:v>RASTREO 50115377TRANSBPI20412592</x:v>
      </x:c>
      <x:c r="I31" s="19" t="str">
        <x:v>DEPOSITO SPEI | ROSA MARIA MICHACA ANDRADE | BANCOPPEL 137040101336815377 | 108262 rosa maria michaca M12L27palo verde | CLAVE DE RASTREO 50115377TRANSBPI20412592</x:v>
      </x:c>
      <x:c r="J31" s="21"/>
      <x:c r="K31" s="21" t="n">
        <x:v>1500</x:v>
      </x:c>
      <x:c r="L31" s="21" t="n">
        <x:v>157590.02</x:v>
      </x:c>
      <x:c r="M31" s="22" t="n">
        <x:v>4</x:v>
      </x:c>
    </x:row>
    <x:row r="32" ht="30" customHeight="1">
      <x:c r="A32" s="16" t="n">
        <x:v>46235</x:v>
      </x:c>
      <x:c r="B32" s="17" t="str">
        <x:v>4085603251</x:v>
      </x:c>
      <x:c r="C32" s="18" t="str">
        <x:v>DEPOSITO SPEI</x:v>
      </x:c>
      <x:c r="D32" s="18" t="str">
        <x:v>NAHUM GABRIEL MENDOZA RENDON</x:v>
      </x:c>
      <x:c r="E32" s="18" t="str">
        <x:v>BANORTE</x:v>
      </x:c>
      <x:c r="F32" s="17" t="str">
        <x:v>CTA 072040002694189831</x:v>
      </x:c>
      <x:c r="G32" s="19" t="str">
        <x:v>260801 pvm9 15 agosto</x:v>
      </x:c>
      <x:c r="H32" s="20" t="str">
        <x:v>RASTREO 38432P04202608015605863884</x:v>
      </x:c>
      <x:c r="I32" s="19" t="str">
        <x:v>DEPOSITO SPEI | NAHUM GABRIEL MENDOZA RENDON | BANORTE 072040002694189831 | 260801 pvm9 15 agosto | CLAVE DE RASTREO 38432P04202608015605863884</x:v>
      </x:c>
      <x:c r="J32" s="21"/>
      <x:c r="K32" s="21" t="n">
        <x:v>2389</x:v>
      </x:c>
      <x:c r="L32" s="21" t="n">
        <x:v>159979.02</x:v>
      </x:c>
      <x:c r="M32" s="22" t="n">
        <x:v>4</x:v>
      </x:c>
    </x:row>
    <x:row r="33" ht="30" customHeight="1">
      <x:c r="A33" s="16" t="n">
        <x:v>46235</x:v>
      </x:c>
      <x:c r="B33" s="17" t="str">
        <x:v>4085618920</x:v>
      </x:c>
      <x:c r="C33" s="18" t="str">
        <x:v>DEPOSITO SPEI</x:v>
      </x:c>
      <x:c r="D33" s="18" t="str">
        <x:v>CARLOS ELOYR ESQUIVEL GALLARDO</x:v>
      </x:c>
      <x:c r="E33" s="18" t="str">
        <x:v>BBVA MEXICO</x:v>
      </x:c>
      <x:c r="F33" s="17" t="str">
        <x:v>CTA 012040015683027003</x:v>
      </x:c>
      <x:c r="G33" s="19" t="str">
        <x:v>1707260 PV M4L26</x:v>
      </x:c>
      <x:c r="H33" s="20" t="str">
        <x:v>RASTREO MBAN01002608030080908882</x:v>
      </x:c>
      <x:c r="I33" s="19" t="str">
        <x:v>DEPOSITO SPEI | CARLOS ELOYR ESQUIVEL GALLARDO | BBVA MEXICO 012040015683027003 | 1707260 PV M4L26 | CLAVE DE RASTREO MBAN01002608030080908882</x:v>
      </x:c>
      <x:c r="J33" s="21"/>
      <x:c r="K33" s="21" t="n">
        <x:v>1500</x:v>
      </x:c>
      <x:c r="L33" s="21" t="n">
        <x:v>161479.02</x:v>
      </x:c>
      <x:c r="M33" s="22" t="n">
        <x:v>4</x:v>
      </x:c>
    </x:row>
    <x:row r="34" ht="30" customHeight="1">
      <x:c r="A34" s="16" t="n">
        <x:v>46235</x:v>
      </x:c>
      <x:c r="B34" s="17" t="str">
        <x:v>8202628941</x:v>
      </x:c>
      <x:c r="C34" s="18" t="str">
        <x:v>TRANSFERENCIA SPEI</x:v>
      </x:c>
      <x:c r="D34" s="18" t="str">
        <x:v>Herrero</x:v>
      </x:c>
      <x:c r="E34" s="18" t="str">
        <x:v>BBVA MEXICO</x:v>
      </x:c>
      <x:c r="F34" s="17" t="str">
        <x:v>CTA 4152314459858950</x:v>
      </x:c>
      <x:c r="G34" s="19" t="str">
        <x:v>20260801 Pago | 036NAPP01082026289411950 RFC NO DISPONIBLE</x:v>
      </x:c>
      <x:c r="H34" s="20" t="str"/>
      <x:c r="I34" s="19" t="str">
        <x:v>TRANSFERENCIA SPEI | Herrero | BBVA MEXICO 4152314459858950 | 20260801 Pago | 036NAPP01082026289411950 RFC NO DISPONIBLE</x:v>
      </x:c>
      <x:c r="J34" s="21" t="n">
        <x:v>5500</x:v>
      </x:c>
      <x:c r="K34" s="21"/>
      <x:c r="L34" s="21" t="n">
        <x:v>155979.02</x:v>
      </x:c>
      <x:c r="M34" s="22" t="n">
        <x:v>5</x:v>
      </x:c>
    </x:row>
    <x:row r="35" ht="30" customHeight="1">
      <x:c r="A35" s="16" t="n">
        <x:v>46235</x:v>
      </x:c>
      <x:c r="B35" s="17" t="str">
        <x:v>4085649370</x:v>
      </x:c>
      <x:c r="C35" s="18" t="str">
        <x:v>DEPOSITO SPEI</x:v>
      </x:c>
      <x:c r="D35" s="18" t="str">
        <x:v>CESAR EDUARDO TORRES ARELLANO</x:v>
      </x:c>
      <x:c r="E35" s="18" t="str">
        <x:v>AZTECA</x:v>
      </x:c>
      <x:c r="F35" s="17" t="str">
        <x:v>CTA 127044013079728074</x:v>
      </x:c>
      <x:c r="G35" s="19" t="str">
        <x:v>59321 mza21lote32agosto2026mensualidcesartorre</x:v>
      </x:c>
      <x:c r="H35" s="20" t="str">
        <x:v>RASTREO 2608010107699288135H</x:v>
      </x:c>
      <x:c r="I35" s="19" t="str">
        <x:v>DEPOSITO SPEI | CESAR EDUARDO TORRES ARELLANO | AZTECA 127044013079728074 | 59321 mza21lote32agosto2026mensualidcesartorre | CLAVE DE RASTREO 2608010107699288135H</x:v>
      </x:c>
      <x:c r="J35" s="21"/>
      <x:c r="K35" s="21" t="n">
        <x:v>2388.88</x:v>
      </x:c>
      <x:c r="L35" s="21" t="n">
        <x:v>158367.9</x:v>
      </x:c>
      <x:c r="M35" s="22" t="n">
        <x:v>5</x:v>
      </x:c>
    </x:row>
    <x:row r="36" ht="30" customHeight="1">
      <x:c r="A36" s="16" t="n">
        <x:v>46235</x:v>
      </x:c>
      <x:c r="B36" s="17" t="str">
        <x:v>8202628944</x:v>
      </x:c>
      <x:c r="C36" s="18" t="str">
        <x:v>TRANSFERENCIA SPEI</x:v>
      </x:c>
      <x:c r="D36" s="18" t="str">
        <x:v>Jesica Lucia Nares Martinez</x:v>
      </x:c>
      <x:c r="E36" s="18" t="str">
        <x:v>BANAMEX</x:v>
      </x:c>
      <x:c r="F36" s="17" t="str">
        <x:v>CTA 5204166289290597</x:v>
      </x:c>
      <x:c r="G36" s="19" t="str">
        <x:v>20260801 Pago | 036NAPP01082026289440560 RFC NO DISPONIBLE</x:v>
      </x:c>
      <x:c r="H36" s="20" t="str"/>
      <x:c r="I36" s="19" t="str">
        <x:v>TRANSFERENCIA SPEI | Jesica Lucia Nares Martinez | BANAMEX 5204166289290597 | 20260801 Pago | 036NAPP01082026289440560 RFC NO DISPONIBLE</x:v>
      </x:c>
      <x:c r="J36" s="21" t="n">
        <x:v>10000</x:v>
      </x:c>
      <x:c r="K36" s="21"/>
      <x:c r="L36" s="21" t="n">
        <x:v>148367.9</x:v>
      </x:c>
      <x:c r="M36" s="22" t="n">
        <x:v>5</x:v>
      </x:c>
    </x:row>
    <x:row r="37" ht="30" customHeight="1">
      <x:c r="A37" s="16" t="n">
        <x:v>46235</x:v>
      </x:c>
      <x:c r="B37" s="17" t="str">
        <x:v>4085908164</x:v>
      </x:c>
      <x:c r="C37" s="18" t="str">
        <x:v>DEPOSITO SPEI</x:v>
      </x:c>
      <x:c r="D37" s="18" t="str">
        <x:v>ROCHIN LUCERO SERGIO LUIS</x:v>
      </x:c>
      <x:c r="E37" s="18" t="str">
        <x:v>AZTECA</x:v>
      </x:c>
      <x:c r="F37" s="17" t="str">
        <x:v>CTA 127040013054899838</x:v>
      </x:c>
      <x:c r="G37" s="19" t="str">
        <x:v>1059321 rochin</x:v>
      </x:c>
      <x:c r="H37" s="20" t="str">
        <x:v>RASTREO 260803070514002053I</x:v>
      </x:c>
      <x:c r="I37" s="19" t="str">
        <x:v>DEPOSITO SPEI | ROCHIN LUCERO SERGIO LUIS | AZTECA 127040013054899838 | 1059321 rochin | CLAVE DE RASTREO 260803070514002053I</x:v>
      </x:c>
      <x:c r="J37" s="21"/>
      <x:c r="K37" s="21" t="n">
        <x:v>15000</x:v>
      </x:c>
      <x:c r="L37" s="21" t="n">
        <x:v>163367.9</x:v>
      </x:c>
      <x:c r="M37" s="22" t="n">
        <x:v>5</x:v>
      </x:c>
    </x:row>
    <x:row r="38" ht="30" customHeight="1">
      <x:c r="A38" s="16" t="n">
        <x:v>46235</x:v>
      </x:c>
      <x:c r="B38" s="17" t="str">
        <x:v>4085924167</x:v>
      </x:c>
      <x:c r="C38" s="18" t="str">
        <x:v>DEPOSITO SPEI</x:v>
      </x:c>
      <x:c r="D38" s="18" t="str">
        <x:v>VICTOR EMANUELLE AGUIRRE RODRIGUEZ</x:v>
      </x:c>
      <x:c r="E38" s="18" t="str">
        <x:v>BBVA MEXICO</x:v>
      </x:c>
      <x:c r="F38" s="17" t="str">
        <x:v>CTA 012040028939840442</x:v>
      </x:c>
      <x:c r="G38" s="19" t="str">
        <x:v>2206260 PVD-MZ7-L12</x:v>
      </x:c>
      <x:c r="H38" s="20" t="str">
        <x:v>RASTREO MBAN01002608030082901172</x:v>
      </x:c>
      <x:c r="I38" s="19" t="str">
        <x:v>DEPOSITO SPEI | VICTOR EMANUELLE AGUIRRE RODRIGUEZ | BBVA MEXICO 012040028939840442 | 2206260 PVD-MZ7-L12 | CLAVE DE RASTREO MBAN01002608030082901172</x:v>
      </x:c>
      <x:c r="J38" s="21"/>
      <x:c r="K38" s="21" t="n">
        <x:v>2389</x:v>
      </x:c>
      <x:c r="L38" s="21" t="n">
        <x:v>165756.9</x:v>
      </x:c>
      <x:c r="M38" s="22" t="n">
        <x:v>5</x:v>
      </x:c>
    </x:row>
    <x:row r="39" ht="30" customHeight="1">
      <x:c r="A39" s="16" t="n">
        <x:v>46236</x:v>
      </x:c>
      <x:c r="B39" s="17" t="str">
        <x:v>4086151490</x:v>
      </x:c>
      <x:c r="C39" s="18" t="str">
        <x:v>DEPOSITO SPEI</x:v>
      </x:c>
      <x:c r="D39" s="18" t="str">
        <x:v>VILLAVICENCIO VILLAVICENCIO MARIBEL</x:v>
      </x:c>
      <x:c r="E39" s="18" t="str">
        <x:v>AZTECA</x:v>
      </x:c>
      <x:c r="F39" s="17" t="str">
        <x:v>CTA 127040013821873977</x:v>
      </x:c>
      <x:c r="G39" s="19" t="str">
        <x:v>903260 Maribel Villa V Mza 19 lte 9</x:v>
      </x:c>
      <x:c r="H39" s="20" t="str">
        <x:v>RASTREO 260803070516680625I</x:v>
      </x:c>
      <x:c r="I39" s="19" t="str">
        <x:v>DEPOSITO SPEI | VILLAVICENCIO VILLAVICENCIO MARIBEL | AZTECA 127040013821873977 | 903260 Maribel Villa V Mza 19 lte 9 | CLAVE DE RASTREO 260803070516680625I</x:v>
      </x:c>
      <x:c r="J39" s="21"/>
      <x:c r="K39" s="21" t="n">
        <x:v>1500</x:v>
      </x:c>
      <x:c r="L39" s="21" t="n">
        <x:v>167256.9</x:v>
      </x:c>
      <x:c r="M39" s="22" t="n">
        <x:v>5</x:v>
      </x:c>
    </x:row>
    <x:row r="40" ht="30" customHeight="1">
      <x:c r="A40" s="16" t="n">
        <x:v>46236</x:v>
      </x:c>
      <x:c r="B40" s="17" t="str">
        <x:v>4086152856</x:v>
      </x:c>
      <x:c r="C40" s="18" t="str">
        <x:v>DEPOSITO SPEI</x:v>
      </x:c>
      <x:c r="D40" s="18" t="str">
        <x:v>VILLAVICENCIO VILLAVICENCIO MARIBEL</x:v>
      </x:c>
      <x:c r="E40" s="18" t="str">
        <x:v>AZTECA</x:v>
      </x:c>
      <x:c r="F40" s="17" t="str">
        <x:v>CTA 127040013821873977</x:v>
      </x:c>
      <x:c r="G40" s="19" t="str">
        <x:v>208260 Maribel Villa V Mza 19 lte 9</x:v>
      </x:c>
      <x:c r="H40" s="20" t="str">
        <x:v>RASTREO 260803070516697241I</x:v>
      </x:c>
      <x:c r="I40" s="19" t="str">
        <x:v>DEPOSITO SPEI | VILLAVICENCIO VILLAVICENCIO MARIBEL | AZTECA 127040013821873977 | 208260 Maribel Villa V Mza 19 lte 9 | CLAVE DE RASTREO 260803070516697241I</x:v>
      </x:c>
      <x:c r="J40" s="21"/>
      <x:c r="K40" s="21" t="n">
        <x:v>1500</x:v>
      </x:c>
      <x:c r="L40" s="21" t="n">
        <x:v>168756.9</x:v>
      </x:c>
      <x:c r="M40" s="22" t="n">
        <x:v>5</x:v>
      </x:c>
    </x:row>
    <x:row r="41" ht="30" customHeight="1">
      <x:c r="A41" s="16" t="n">
        <x:v>46236</x:v>
      </x:c>
      <x:c r="B41" s="17" t="str">
        <x:v>4086158337</x:v>
      </x:c>
      <x:c r="C41" s="18" t="str">
        <x:v>DEPOSITO SPEI</x:v>
      </x:c>
      <x:c r="D41" s="18" t="str">
        <x:v>DARIA CONSEPCION PEREZ VERDUGO</x:v>
      </x:c>
      <x:c r="E41" s="18" t="str">
        <x:v>BBVA MEXICO</x:v>
      </x:c>
      <x:c r="F41" s="17" t="str">
        <x:v>CTA 012180015838154911</x:v>
      </x:c>
      <x:c r="G41" s="19" t="str">
        <x:v>2206260 PVM24L9</x:v>
      </x:c>
      <x:c r="H41" s="20" t="str">
        <x:v>RASTREO MBAN01002608030084117171</x:v>
      </x:c>
      <x:c r="I41" s="19" t="str">
        <x:v>DEPOSITO SPEI | DARIA CONSEPCION PEREZ VERDUGO | BBVA MEXICO 012180015838154911 | 2206260 PVM24L9 | CLAVE DE RASTREO MBAN01002608030084117171</x:v>
      </x:c>
      <x:c r="J41" s="21"/>
      <x:c r="K41" s="21" t="n">
        <x:v>2388</x:v>
      </x:c>
      <x:c r="L41" s="21" t="n">
        <x:v>171144.9</x:v>
      </x:c>
      <x:c r="M41" s="22" t="n">
        <x:v>5</x:v>
      </x:c>
    </x:row>
    <x:row r="42" ht="30" customHeight="1">
      <x:c r="A42" s="16" t="n">
        <x:v>46236</x:v>
      </x:c>
      <x:c r="B42" s="17" t="str">
        <x:v>4086179900</x:v>
      </x:c>
      <x:c r="C42" s="18" t="str">
        <x:v>DEPOSITO SPEI</x:v>
      </x:c>
      <x:c r="D42" s="18" t="str">
        <x:v>MARIA DEL SOCORRO ENRIQUEZ VILLICAÑA</x:v>
      </x:c>
      <x:c r="E42" s="18" t="str">
        <x:v>BBVA MEXICO</x:v>
      </x:c>
      <x:c r="F42" s="17" t="str">
        <x:v>CTA 012040029769277857</x:v>
      </x:c>
      <x:c r="G42" s="19" t="str">
        <x:v>1707260 M4 L19 palo verde</x:v>
      </x:c>
      <x:c r="H42" s="20" t="str">
        <x:v>RASTREO MBAN01002608030084243007</x:v>
      </x:c>
      <x:c r="I42" s="19" t="str">
        <x:v>DEPOSITO SPEI | MARIA DEL SOCORRO ENRIQUEZ VILLICAÑA | BBVA MEXICO 012040029769277857 | 1707260 M4 L19 palo verde | CLAVE DE RASTREO MBAN01002608030084243007</x:v>
      </x:c>
      <x:c r="J42" s="21"/>
      <x:c r="K42" s="21" t="n">
        <x:v>1500</x:v>
      </x:c>
      <x:c r="L42" s="21" t="n">
        <x:v>172644.9</x:v>
      </x:c>
      <x:c r="M42" s="22" t="n">
        <x:v>5</x:v>
      </x:c>
    </x:row>
    <x:row r="43" ht="30" customHeight="1">
      <x:c r="A43" s="16" t="n">
        <x:v>46236</x:v>
      </x:c>
      <x:c r="B43" s="17" t="str">
        <x:v>4086187326</x:v>
      </x:c>
      <x:c r="C43" s="18" t="str">
        <x:v>DEPOSITO SPEI</x:v>
      </x:c>
      <x:c r="D43" s="18" t="str">
        <x:v>BRYANDA LINETTE CUESTA GOROSAVE</x:v>
      </x:c>
      <x:c r="E43" s="18" t="str">
        <x:v>SANTANDER</x:v>
      </x:c>
      <x:c r="F43" s="17" t="str">
        <x:v>CTA 014040568277305644</x:v>
      </x:c>
      <x:c r="G43" s="19" t="str">
        <x:v>2958697 PROYECTO PALO VERDE M12L37</x:v>
      </x:c>
      <x:c r="H43" s="20" t="str">
        <x:v>RASTREO 2026080240014BMOVP000410831620</x:v>
      </x:c>
      <x:c r="I43" s="19" t="str">
        <x:v>DEPOSITO SPEI | BRYANDA LINETTE CUESTA GOROSAVE | SANTANDER 014040568277305644 | 2958697 PROYECTO PALO VERDE M12L37 | CLAVE DE RASTREO 2026080240014BMOVP000410831620</x:v>
      </x:c>
      <x:c r="J43" s="21"/>
      <x:c r="K43" s="21" t="n">
        <x:v>2000</x:v>
      </x:c>
      <x:c r="L43" s="21" t="n">
        <x:v>174644.9</x:v>
      </x:c>
      <x:c r="M43" s="22" t="n">
        <x:v>5</x:v>
      </x:c>
    </x:row>
    <x:row r="44" ht="30" customHeight="1">
      <x:c r="A44" s="16" t="n">
        <x:v>46236</x:v>
      </x:c>
      <x:c r="B44" s="17" t="str">
        <x:v>4086188504</x:v>
      </x:c>
      <x:c r="C44" s="18" t="str">
        <x:v>DEPOSITO SPEI</x:v>
      </x:c>
      <x:c r="D44" s="18" t="str">
        <x:v>BRYANDA LINETTE CUESTA GOROSAVE</x:v>
      </x:c>
      <x:c r="E44" s="18" t="str">
        <x:v>SANTANDER</x:v>
      </x:c>
      <x:c r="F44" s="17" t="str">
        <x:v>CTA 014040568277305644</x:v>
      </x:c>
      <x:c r="G44" s="19" t="str">
        <x:v>8104653 PROYECTO PALO VERDE M12L38</x:v>
      </x:c>
      <x:c r="H44" s="20" t="str">
        <x:v>RASTREO 2026080240014BMOVP000410870360</x:v>
      </x:c>
      <x:c r="I44" s="19" t="str">
        <x:v>DEPOSITO SPEI | BRYANDA LINETTE CUESTA GOROSAVE | SANTANDER 014040568277305644 | 8104653 PROYECTO PALO VERDE M12L38 | CLAVE DE RASTREO 2026080240014BMOVP000410870360</x:v>
      </x:c>
      <x:c r="J44" s="21"/>
      <x:c r="K44" s="21" t="n">
        <x:v>2000</x:v>
      </x:c>
      <x:c r="L44" s="21" t="n">
        <x:v>176644.9</x:v>
      </x:c>
      <x:c r="M44" s="22" t="n">
        <x:v>6</x:v>
      </x:c>
    </x:row>
    <x:row r="45" ht="30" customHeight="1">
      <x:c r="A45" s="16" t="n">
        <x:v>46236</x:v>
      </x:c>
      <x:c r="B45" s="17" t="str">
        <x:v>4086189869</x:v>
      </x:c>
      <x:c r="C45" s="18" t="str">
        <x:v>DEPOSITO SPEI</x:v>
      </x:c>
      <x:c r="D45" s="18" t="str">
        <x:v>BRYANDA LINETTE CUESTA GOROSAVE</x:v>
      </x:c>
      <x:c r="E45" s="18" t="str">
        <x:v>SANTANDER</x:v>
      </x:c>
      <x:c r="F45" s="17" t="str">
        <x:v>CTA 014040568277305644</x:v>
      </x:c>
      <x:c r="G45" s="19" t="str">
        <x:v>2463838 PROYECTO PALO VERDE M12L39</x:v>
      </x:c>
      <x:c r="H45" s="20" t="str">
        <x:v>RASTREO 2026080240014BMOVP000410921400</x:v>
      </x:c>
      <x:c r="I45" s="19" t="str">
        <x:v>DEPOSITO SPEI | BRYANDA LINETTE CUESTA GOROSAVE | SANTANDER 014040568277305644 | 2463838 PROYECTO PALO VERDE M12L39 | CLAVE DE RASTREO 2026080240014BMOVP000410921400</x:v>
      </x:c>
      <x:c r="J45" s="21"/>
      <x:c r="K45" s="21" t="n">
        <x:v>2000</x:v>
      </x:c>
      <x:c r="L45" s="21" t="n">
        <x:v>178644.9</x:v>
      </x:c>
      <x:c r="M45" s="22" t="n">
        <x:v>6</x:v>
      </x:c>
    </x:row>
    <x:row r="46" ht="30" customHeight="1">
      <x:c r="A46" s="16" t="n">
        <x:v>46236</x:v>
      </x:c>
      <x:c r="B46" s="17" t="str">
        <x:v>8202628949</x:v>
      </x:c>
      <x:c r="C46" s="18" t="str">
        <x:v>TRANSFERENCIA SPEI</x:v>
      </x:c>
      <x:c r="D46" s="18" t="str">
        <x:v>Jonatan Ezequiel</x:v>
      </x:c>
      <x:c r="E46" s="18" t="str">
        <x:v>BBVA MEXICO</x:v>
      </x:c>
      <x:c r="F46" s="17" t="str">
        <x:v>CTA 4152314390554866</x:v>
      </x:c>
      <x:c r="G46" s="19" t="str">
        <x:v>20260802 Pago lalo | 036NAPP02082026289494738 RFC NO DISPONIBLE</x:v>
      </x:c>
      <x:c r="H46" s="20" t="str"/>
      <x:c r="I46" s="19" t="str">
        <x:v>TRANSFERENCIA SPEI | Jonatan Ezequiel | BBVA MEXICO 4152314390554866 | 20260802 Pago lalo | 036NAPP02082026289494738 RFC NO DISPONIBLE</x:v>
      </x:c>
      <x:c r="J46" s="21" t="n">
        <x:v>5000</x:v>
      </x:c>
      <x:c r="K46" s="21"/>
      <x:c r="L46" s="21" t="n">
        <x:v>173644.9</x:v>
      </x:c>
      <x:c r="M46" s="22" t="n">
        <x:v>6</x:v>
      </x:c>
    </x:row>
    <x:row r="47" ht="30" customHeight="1">
      <x:c r="A47" s="16" t="n">
        <x:v>46236</x:v>
      </x:c>
      <x:c r="B47" s="17" t="str">
        <x:v>4086212447</x:v>
      </x:c>
      <x:c r="C47" s="18" t="str">
        <x:v>DEPOSITO SPEI</x:v>
      </x:c>
      <x:c r="D47" s="18" t="str">
        <x:v>DANIEL,SEPULVEDA/DIAZ</x:v>
      </x:c>
      <x:c r="E47" s="18" t="str">
        <x:v>BANAMEX</x:v>
      </x:c>
      <x:c r="F47" s="17" t="str">
        <x:v>CTA 002045900753211380</x:v>
      </x:c>
      <x:c r="G47" s="19" t="str">
        <x:v>20826 pago mes de agosto lote 10</x:v>
      </x:c>
      <x:c r="H47" s="20" t="str">
        <x:v>RASTREO 085909930324321465</x:v>
      </x:c>
      <x:c r="I47" s="19" t="str">
        <x:v>DEPOSITO SPEI | DANIEL,SEPULVEDA/DIAZ | BANAMEX 002045900753211380 | 20826 pago mes de agosto lote 10 | CLAVE DE RASTREO 085909930324321465</x:v>
      </x:c>
      <x:c r="J47" s="21"/>
      <x:c r="K47" s="21" t="n">
        <x:v>1500</x:v>
      </x:c>
      <x:c r="L47" s="21" t="n">
        <x:v>175144.9</x:v>
      </x:c>
      <x:c r="M47" s="22" t="n">
        <x:v>6</x:v>
      </x:c>
    </x:row>
    <x:row r="48" ht="30" customHeight="1">
      <x:c r="A48" s="16" t="n">
        <x:v>46236</x:v>
      </x:c>
      <x:c r="B48" s="17" t="str">
        <x:v>4086215081</x:v>
      </x:c>
      <x:c r="C48" s="18" t="str">
        <x:v>DEPOSITO SPEI</x:v>
      </x:c>
      <x:c r="D48" s="18" t="str">
        <x:v>DANIEL,SEPULVEDA/DIAZ</x:v>
      </x:c>
      <x:c r="E48" s="18" t="str">
        <x:v>BANAMEX</x:v>
      </x:c>
      <x:c r="F48" s="17" t="str">
        <x:v>CTA 002045900753211380</x:v>
      </x:c>
      <x:c r="G48" s="19" t="str">
        <x:v>20826 pago mes de agosto lote 11</x:v>
      </x:c>
      <x:c r="H48" s="20" t="str">
        <x:v>RASTREO 085909946444321461</x:v>
      </x:c>
      <x:c r="I48" s="19" t="str">
        <x:v>DEPOSITO SPEI | DANIEL,SEPULVEDA/DIAZ | BANAMEX 002045900753211380 | 20826 pago mes de agosto lote 11 | CLAVE DE RASTREO 085909946444321461</x:v>
      </x:c>
      <x:c r="J48" s="21"/>
      <x:c r="K48" s="21" t="n">
        <x:v>1500</x:v>
      </x:c>
      <x:c r="L48" s="21" t="n">
        <x:v>176644.9</x:v>
      </x:c>
      <x:c r="M48" s="22" t="n">
        <x:v>6</x:v>
      </x:c>
    </x:row>
    <x:row r="49" ht="30" customHeight="1">
      <x:c r="A49" s="16" t="n">
        <x:v>46236</x:v>
      </x:c>
      <x:c r="B49" s="17" t="str">
        <x:v>4086255542</x:v>
      </x:c>
      <x:c r="C49" s="18" t="str">
        <x:v>DEPOSITO SPEI</x:v>
      </x:c>
      <x:c r="D49" s="18" t="str">
        <x:v>YESENIA ROMERO AMADOR</x:v>
      </x:c>
      <x:c r="E49" s="18" t="str">
        <x:v>BANCOPPEL</x:v>
      </x:c>
      <x:c r="F49" s="17" t="str">
        <x:v>CTA 137040103114620627</x:v>
      </x:c>
      <x:c r="G49" s="19" t="str">
        <x:v>208260 Transf. a PVD M12L25</x:v>
      </x:c>
      <x:c r="H49" s="20" t="str">
        <x:v>RASTREO 50110627TRANSBPI31353292</x:v>
      </x:c>
      <x:c r="I49" s="19" t="str">
        <x:v>DEPOSITO SPEI | YESENIA ROMERO AMADOR | BANCOPPEL 137040103114620627 | 208260 Transf. a PVD M12L25 | CLAVE DE RASTREO 50110627TRANSBPI31353292</x:v>
      </x:c>
      <x:c r="J49" s="21"/>
      <x:c r="K49" s="21" t="n">
        <x:v>1500</x:v>
      </x:c>
      <x:c r="L49" s="21" t="n">
        <x:v>178144.9</x:v>
      </x:c>
      <x:c r="M49" s="22" t="n">
        <x:v>6</x:v>
      </x:c>
    </x:row>
    <x:row r="50" ht="30" customHeight="1">
      <x:c r="A50" s="16" t="n">
        <x:v>46236</x:v>
      </x:c>
      <x:c r="B50" s="17" t="str">
        <x:v>4086314031</x:v>
      </x:c>
      <x:c r="C50" s="18" t="str">
        <x:v>CARLS JR FORJADORES MX</x:v>
      </x:c>
      <x:c r="D50" s="18" t="str"/>
      <x:c r="E50" s="18" t="str"/>
      <x:c r="F50" s="17" t="str"/>
      <x:c r="G50" s="19" t="str"/>
      <x:c r="H50" s="20" t="str"/>
      <x:c r="I50" s="19" t="str">
        <x:v>CARLS JR FORJADORES MX</x:v>
      </x:c>
      <x:c r="J50" s="21" t="n">
        <x:v>1574</x:v>
      </x:c>
      <x:c r="K50" s="21"/>
      <x:c r="L50" s="21" t="n">
        <x:v>176570.9</x:v>
      </x:c>
      <x:c r="M50" s="22" t="n">
        <x:v>6</x:v>
      </x:c>
    </x:row>
    <x:row r="51" ht="30" customHeight="1">
      <x:c r="A51" s="16" t="n">
        <x:v>46236</x:v>
      </x:c>
      <x:c r="B51" s="17" t="str">
        <x:v>4086314054</x:v>
      </x:c>
      <x:c r="C51" s="18" t="str">
        <x:v>OXXO CHAMETLA II LAP MX</x:v>
      </x:c>
      <x:c r="D51" s="18" t="str"/>
      <x:c r="E51" s="18" t="str"/>
      <x:c r="F51" s="17" t="str"/>
      <x:c r="G51" s="19" t="str"/>
      <x:c r="H51" s="20" t="str"/>
      <x:c r="I51" s="19" t="str">
        <x:v>OXXO CHAMETLA II LAP MX</x:v>
      </x:c>
      <x:c r="J51" s="21" t="n">
        <x:v>290</x:v>
      </x:c>
      <x:c r="K51" s="21"/>
      <x:c r="L51" s="21" t="n">
        <x:v>176280.9</x:v>
      </x:c>
      <x:c r="M51" s="22" t="n">
        <x:v>6</x:v>
      </x:c>
    </x:row>
    <x:row r="52" ht="30" customHeight="1">
      <x:c r="A52" s="16" t="n">
        <x:v>46236</x:v>
      </x:c>
      <x:c r="B52" s="17" t="str">
        <x:v>4086314070</x:v>
      </x:c>
      <x:c r="C52" s="18" t="str">
        <x:v>OXXO CHAMETLA II LAP MX</x:v>
      </x:c>
      <x:c r="D52" s="18" t="str"/>
      <x:c r="E52" s="18" t="str"/>
      <x:c r="F52" s="17" t="str"/>
      <x:c r="G52" s="19" t="str"/>
      <x:c r="H52" s="20" t="str"/>
      <x:c r="I52" s="19" t="str">
        <x:v>OXXO CHAMETLA II LAP MX</x:v>
      </x:c>
      <x:c r="J52" s="21" t="n">
        <x:v>77</x:v>
      </x:c>
      <x:c r="K52" s="21"/>
      <x:c r="L52" s="21" t="n">
        <x:v>176203.9</x:v>
      </x:c>
      <x:c r="M52" s="22" t="n">
        <x:v>6</x:v>
      </x:c>
    </x:row>
    <x:row r="53" ht="30" customHeight="1">
      <x:c r="A53" s="16" t="n">
        <x:v>46236</x:v>
      </x:c>
      <x:c r="B53" s="17" t="str">
        <x:v>4086314086</x:v>
      </x:c>
      <x:c r="C53" s="18" t="str">
        <x:v>OXXOALTAVELA CEN MX</x:v>
      </x:c>
      <x:c r="D53" s="18" t="str"/>
      <x:c r="E53" s="18" t="str"/>
      <x:c r="F53" s="17" t="str"/>
      <x:c r="G53" s="19" t="str"/>
      <x:c r="H53" s="20" t="str"/>
      <x:c r="I53" s="19" t="str">
        <x:v>OXXOALTAVELA CEN MX</x:v>
      </x:c>
      <x:c r="J53" s="21" t="n">
        <x:v>303</x:v>
      </x:c>
      <x:c r="K53" s="21"/>
      <x:c r="L53" s="21" t="n">
        <x:v>175900.9</x:v>
      </x:c>
      <x:c r="M53" s="22" t="n">
        <x:v>6</x:v>
      </x:c>
    </x:row>
    <x:row r="54" ht="30" customHeight="1">
      <x:c r="A54" s="16" t="n">
        <x:v>46236</x:v>
      </x:c>
      <x:c r="B54" s="17" t="str">
        <x:v>4086408461</x:v>
      </x:c>
      <x:c r="C54" s="18" t="str">
        <x:v>DEPOSITO SPEI</x:v>
      </x:c>
      <x:c r="D54" s="18" t="str">
        <x:v>ARTURO AVILES COBIAN</x:v>
      </x:c>
      <x:c r="E54" s="18" t="str">
        <x:v>BANCOPPEL</x:v>
      </x:c>
      <x:c r="F54" s="17" t="str">
        <x:v>CTA 137040101875108943</x:v>
      </x:c>
      <x:c r="G54" s="19" t="str">
        <x:v>208261 PVM26 L52 L53 mensualidad</x:v>
      </x:c>
      <x:c r="H54" s="20" t="str">
        <x:v>RASTREO 50118943TRANSBPI32522859</x:v>
      </x:c>
      <x:c r="I54" s="19" t="str">
        <x:v>DEPOSITO SPEI | ARTURO AVILES COBIAN | BANCOPPEL 137040101875108943 | 208261 PVM26 L52 L53 mensualidad | CLAVE DE RASTREO 50118943TRANSBPI32522859</x:v>
      </x:c>
      <x:c r="J54" s="21"/>
      <x:c r="K54" s="21" t="n">
        <x:v>3000</x:v>
      </x:c>
      <x:c r="L54" s="21" t="n">
        <x:v>178900.9</x:v>
      </x:c>
      <x:c r="M54" s="22" t="n">
        <x:v>6</x:v>
      </x:c>
    </x:row>
    <x:row r="55" ht="30" customHeight="1">
      <x:c r="A55" s="16" t="n">
        <x:v>46236</x:v>
      </x:c>
      <x:c r="B55" s="17" t="str">
        <x:v>4086509632</x:v>
      </x:c>
      <x:c r="C55" s="18" t="str">
        <x:v>DEPOSITO SPEI</x:v>
      </x:c>
      <x:c r="D55" s="18" t="str">
        <x:v>JESUS EDUVIGES AGUIRRE ZATARAIN</x:v>
      </x:c>
      <x:c r="E55" s="18" t="str">
        <x:v>BBVA MEXICO</x:v>
      </x:c>
      <x:c r="F55" s="17" t="str">
        <x:v>CTA 012040015740818430</x:v>
      </x:c>
      <x:c r="G55" s="19" t="str">
        <x:v>1707260 jesus aguirre palo verde m18 l8</x:v>
      </x:c>
      <x:c r="H55" s="20" t="str">
        <x:v>RASTREO MBAN01002608030085466326</x:v>
      </x:c>
      <x:c r="I55" s="19" t="str">
        <x:v>DEPOSITO SPEI | JESUS EDUVIGES AGUIRRE ZATARAIN | BBVA MEXICO 012040015740818430 | 1707260 jesus aguirre palo verde m18 l8 | CLAVE DE RASTREO MBAN01002608030085466326</x:v>
      </x:c>
      <x:c r="J55" s="21"/>
      <x:c r="K55" s="21" t="n">
        <x:v>2389</x:v>
      </x:c>
      <x:c r="L55" s="21" t="n">
        <x:v>181289.9</x:v>
      </x:c>
      <x:c r="M55" s="22" t="n">
        <x:v>6</x:v>
      </x:c>
    </x:row>
    <x:row r="56" ht="30" customHeight="1">
      <x:c r="A56" s="16" t="n">
        <x:v>46236</x:v>
      </x:c>
      <x:c r="B56" s="17" t="str">
        <x:v>4086704790</x:v>
      </x:c>
      <x:c r="C56" s="18" t="str">
        <x:v>DEPOSITO SPEI</x:v>
      </x:c>
      <x:c r="D56" s="18" t="str">
        <x:v>KISLEV NATHALIE MENDOZA ARGUELLES</x:v>
      </x:c>
      <x:c r="E56" s="18" t="str">
        <x:v>SANTANDER</x:v>
      </x:c>
      <x:c r="F56" s="17" t="str">
        <x:v>CTA 014028606229353748</x:v>
      </x:c>
      <x:c r="G56" s="19" t="str">
        <x:v>4242803 M7 L20 KISLEV MENDOZA</x:v>
      </x:c>
      <x:c r="H56" s="20" t="str">
        <x:v>RASTREO 2026080240014BMOVP000423285760</x:v>
      </x:c>
      <x:c r="I56" s="19" t="str">
        <x:v>DEPOSITO SPEI | KISLEV NATHALIE MENDOZA ARGUELLES | SANTANDER 014028606229353748 | 4242803 M7 L20 KISLEV MENDOZA | CLAVE DE RASTREO 2026080240014BMOVP000423285760</x:v>
      </x:c>
      <x:c r="J56" s="21"/>
      <x:c r="K56" s="21" t="n">
        <x:v>1500</x:v>
      </x:c>
      <x:c r="L56" s="21" t="n">
        <x:v>182789.9</x:v>
      </x:c>
      <x:c r="M56" s="22" t="n">
        <x:v>7</x:v>
      </x:c>
    </x:row>
    <x:row r="57" ht="30" customHeight="1">
      <x:c r="A57" s="16" t="n">
        <x:v>46236</x:v>
      </x:c>
      <x:c r="B57" s="17" t="str">
        <x:v>4086733938</x:v>
      </x:c>
      <x:c r="C57" s="18" t="str">
        <x:v>DEPOSITO SPEI</x:v>
      </x:c>
      <x:c r="D57" s="18" t="str">
        <x:v>AGUSTIN RUELAS VILLALOBOS</x:v>
      </x:c>
      <x:c r="E57" s="18" t="str">
        <x:v>BBVA MEXICO</x:v>
      </x:c>
      <x:c r="F57" s="17" t="str">
        <x:v>CTA 012040015131455622</x:v>
      </x:c>
      <x:c r="G57" s="19" t="str">
        <x:v>2604260 PVD M29 L5</x:v>
      </x:c>
      <x:c r="H57" s="20" t="str">
        <x:v>RASTREO MBAN01002608030086615177</x:v>
      </x:c>
      <x:c r="I57" s="19" t="str">
        <x:v>DEPOSITO SPEI | AGUSTIN RUELAS VILLALOBOS | BBVA MEXICO 012040015131455622 | 2604260 PVD M29 L5 | CLAVE DE RASTREO MBAN01002608030086615177</x:v>
      </x:c>
      <x:c r="J57" s="21"/>
      <x:c r="K57" s="21" t="n">
        <x:v>17667</x:v>
      </x:c>
      <x:c r="L57" s="21" t="n">
        <x:v>200456.9</x:v>
      </x:c>
      <x:c r="M57" s="22" t="n">
        <x:v>7</x:v>
      </x:c>
    </x:row>
    <x:row r="58" ht="30" customHeight="1">
      <x:c r="A58" s="16" t="n">
        <x:v>46236</x:v>
      </x:c>
      <x:c r="B58" s="17" t="str">
        <x:v>8202628956</x:v>
      </x:c>
      <x:c r="C58" s="18" t="str">
        <x:v>TRANSFERENCIA SPEI</x:v>
      </x:c>
      <x:c r="D58" s="18" t="str">
        <x:v>Nicolás Yontahn</x:v>
      </x:c>
      <x:c r="E58" s="18" t="str">
        <x:v>BBVA MEXICO</x:v>
      </x:c>
      <x:c r="F58" s="17" t="str">
        <x:v>CTA 4152314568310299</x:v>
      </x:c>
      <x:c r="G58" s="19" t="str">
        <x:v>20260802 Abino | 036NAPP02082026289569683 RFC NO DISPONIBLE</x:v>
      </x:c>
      <x:c r="H58" s="20" t="str"/>
      <x:c r="I58" s="19" t="str">
        <x:v>TRANSFERENCIA SPEI | Nicolás Yontahn | BBVA MEXICO 4152314568310299 | 20260802 Abino | 036NAPP02082026289569683 RFC NO DISPONIBLE</x:v>
      </x:c>
      <x:c r="J58" s="21" t="n">
        <x:v>5000</x:v>
      </x:c>
      <x:c r="K58" s="21"/>
      <x:c r="L58" s="21" t="n">
        <x:v>195456.9</x:v>
      </x:c>
      <x:c r="M58" s="22" t="n">
        <x:v>7</x:v>
      </x:c>
    </x:row>
    <x:row r="59" ht="30" customHeight="1">
      <x:c r="A59" s="16" t="n">
        <x:v>46236</x:v>
      </x:c>
      <x:c r="B59" s="17" t="str">
        <x:v>4086974207</x:v>
      </x:c>
      <x:c r="C59" s="18" t="str">
        <x:v>DEPOSITO SPEI</x:v>
      </x:c>
      <x:c r="D59" s="18" t="str">
        <x:v>MARIEL GUADALUPE MURGUIA OJEDA</x:v>
      </x:c>
      <x:c r="E59" s="18" t="str">
        <x:v>SANTANDER</x:v>
      </x:c>
      <x:c r="F59" s="17" t="str">
        <x:v>CTA 014040567002210345</x:v>
      </x:c>
      <x:c r="G59" s="19" t="str">
        <x:v>8033978 MZ28LT2</x:v>
      </x:c>
      <x:c r="H59" s="20" t="str">
        <x:v>RASTREO 2026080240014BMOVP000432515790</x:v>
      </x:c>
      <x:c r="I59" s="19" t="str">
        <x:v>DEPOSITO SPEI | MARIEL GUADALUPE MURGUIA OJEDA | SANTANDER 014040567002210345 | 8033978 MZ28LT2 | CLAVE DE RASTREO 2026080240014BMOVP000432515790</x:v>
      </x:c>
      <x:c r="J59" s="21"/>
      <x:c r="K59" s="21" t="n">
        <x:v>2000</x:v>
      </x:c>
      <x:c r="L59" s="21" t="n">
        <x:v>197456.9</x:v>
      </x:c>
      <x:c r="M59" s="22" t="n">
        <x:v>7</x:v>
      </x:c>
    </x:row>
    <x:row r="60" ht="30" customHeight="1">
      <x:c r="A60" s="16" t="n">
        <x:v>46237</x:v>
      </x:c>
      <x:c r="B60" s="17" t="str">
        <x:v>4087112295</x:v>
      </x:c>
      <x:c r="C60" s="18" t="str">
        <x:v>DEPOSITO SPEI</x:v>
      </x:c>
      <x:c r="D60" s="18" t="str">
        <x:v>PEDRO JURADO VILLALPANDO</x:v>
      </x:c>
      <x:c r="E60" s="18" t="str">
        <x:v>BBVA MEXICO</x:v>
      </x:c>
      <x:c r="F60" s="17" t="str">
        <x:v>CTA 012180015138178684</x:v>
      </x:c>
      <x:c r="G60" s="19" t="str">
        <x:v>3107260 PVM7L3</x:v>
      </x:c>
      <x:c r="H60" s="20" t="str">
        <x:v>RASTREO MBAN01002608030088528513</x:v>
      </x:c>
      <x:c r="I60" s="19" t="str">
        <x:v>DEPOSITO SPEI | PEDRO JURADO VILLALPANDO | BBVA MEXICO 012180015138178684 | 3107260 PVM7L3 | CLAVE DE RASTREO MBAN01002608030088528513</x:v>
      </x:c>
      <x:c r="J60" s="21"/>
      <x:c r="K60" s="21" t="n">
        <x:v>2389</x:v>
      </x:c>
      <x:c r="L60" s="21" t="n">
        <x:v>199845.9</x:v>
      </x:c>
      <x:c r="M60" s="22" t="n">
        <x:v>7</x:v>
      </x:c>
    </x:row>
    <x:row r="61" ht="30" customHeight="1">
      <x:c r="A61" s="16" t="n">
        <x:v>46237</x:v>
      </x:c>
      <x:c r="B61" s="17" t="str">
        <x:v>4087134675</x:v>
      </x:c>
      <x:c r="C61" s="18" t="str">
        <x:v>DEPOSITO SPEI</x:v>
      </x:c>
      <x:c r="D61" s="18" t="str">
        <x:v>ADELINA SUHEILY CRUZ CASTRO</x:v>
      </x:c>
      <x:c r="E61" s="18" t="str">
        <x:v>BANORTE</x:v>
      </x:c>
      <x:c r="F61" s="17" t="str">
        <x:v>CTA 072040013432702391</x:v>
      </x:c>
      <x:c r="G61" s="19" t="str">
        <x:v>260803 M19 L11</x:v>
      </x:c>
      <x:c r="H61" s="20" t="str">
        <x:v>RASTREO 38432P06202608035609905402</x:v>
      </x:c>
      <x:c r="I61" s="19" t="str">
        <x:v>DEPOSITO SPEI | ADELINA SUHEILY CRUZ CASTRO | BANORTE 072040013432702391 | 260803 M19 L11 | CLAVE DE RASTREO 38432P06202608035609905402</x:v>
      </x:c>
      <x:c r="J61" s="21"/>
      <x:c r="K61" s="21" t="n">
        <x:v>2100</x:v>
      </x:c>
      <x:c r="L61" s="21" t="n">
        <x:v>201945.9</x:v>
      </x:c>
      <x:c r="M61" s="22" t="n">
        <x:v>7</x:v>
      </x:c>
    </x:row>
    <x:row r="62" ht="30" customHeight="1">
      <x:c r="A62" s="16" t="n">
        <x:v>46237</x:v>
      </x:c>
      <x:c r="B62" s="17" t="str">
        <x:v>4087462762</x:v>
      </x:c>
      <x:c r="C62" s="18" t="str">
        <x:v>COMEX COLIMA MX</x:v>
      </x:c>
      <x:c r="D62" s="18" t="str"/>
      <x:c r="E62" s="18" t="str"/>
      <x:c r="F62" s="17" t="str"/>
      <x:c r="G62" s="19" t="str"/>
      <x:c r="H62" s="20" t="str"/>
      <x:c r="I62" s="19" t="str">
        <x:v>COMEX COLIMA MX</x:v>
      </x:c>
      <x:c r="J62" s="21" t="n">
        <x:v>2142.21</x:v>
      </x:c>
      <x:c r="K62" s="21"/>
      <x:c r="L62" s="21" t="n">
        <x:v>199803.69</x:v>
      </x:c>
      <x:c r="M62" s="22" t="n">
        <x:v>7</x:v>
      </x:c>
    </x:row>
    <x:row r="63" ht="30" customHeight="1">
      <x:c r="A63" s="16" t="n">
        <x:v>46237</x:v>
      </x:c>
      <x:c r="B63" s="17" t="str">
        <x:v>4087462777</x:v>
      </x:c>
      <x:c r="C63" s="18" t="str">
        <x:v>MOTOPARTES BCS MX</x:v>
      </x:c>
      <x:c r="D63" s="18" t="str"/>
      <x:c r="E63" s="18" t="str"/>
      <x:c r="F63" s="17" t="str"/>
      <x:c r="G63" s="19" t="str"/>
      <x:c r="H63" s="20" t="str"/>
      <x:c r="I63" s="19" t="str">
        <x:v>MOTOPARTES BCS MX</x:v>
      </x:c>
      <x:c r="J63" s="21" t="n">
        <x:v>2000</x:v>
      </x:c>
      <x:c r="K63" s="21"/>
      <x:c r="L63" s="21" t="n">
        <x:v>197803.69</x:v>
      </x:c>
      <x:c r="M63" s="22" t="n">
        <x:v>7</x:v>
      </x:c>
    </x:row>
    <x:row r="64" ht="30" customHeight="1">
      <x:c r="A64" s="16" t="n">
        <x:v>46237</x:v>
      </x:c>
      <x:c r="B64" s="17" t="str">
        <x:v>4087462794</x:v>
      </x:c>
      <x:c r="C64" s="18" t="str">
        <x:v>CAFFENIO MX</x:v>
      </x:c>
      <x:c r="D64" s="18" t="str"/>
      <x:c r="E64" s="18" t="str"/>
      <x:c r="F64" s="17" t="str"/>
      <x:c r="G64" s="19" t="str"/>
      <x:c r="H64" s="20" t="str"/>
      <x:c r="I64" s="19" t="str">
        <x:v>CAFFENIO MX</x:v>
      </x:c>
      <x:c r="J64" s="21" t="n">
        <x:v>143</x:v>
      </x:c>
      <x:c r="K64" s="21"/>
      <x:c r="L64" s="21" t="n">
        <x:v>197660.69</x:v>
      </x:c>
      <x:c r="M64" s="22" t="n">
        <x:v>7</x:v>
      </x:c>
    </x:row>
    <x:row r="65" ht="30" customHeight="1">
      <x:c r="A65" s="16" t="n">
        <x:v>46237</x:v>
      </x:c>
      <x:c r="B65" s="17" t="str">
        <x:v>4087462809</x:v>
      </x:c>
      <x:c r="C65" s="18" t="str">
        <x:v>GASO COMITAN MX</x:v>
      </x:c>
      <x:c r="D65" s="18" t="str"/>
      <x:c r="E65" s="18" t="str"/>
      <x:c r="F65" s="17" t="str"/>
      <x:c r="G65" s="19" t="str"/>
      <x:c r="H65" s="20" t="str"/>
      <x:c r="I65" s="19" t="str">
        <x:v>GASO COMITAN MX</x:v>
      </x:c>
      <x:c r="J65" s="21" t="n">
        <x:v>562.88</x:v>
      </x:c>
      <x:c r="K65" s="21"/>
      <x:c r="L65" s="21" t="n">
        <x:v>197097.81</x:v>
      </x:c>
      <x:c r="M65" s="22" t="n">
        <x:v>7</x:v>
      </x:c>
    </x:row>
    <x:row r="66" ht="30" customHeight="1">
      <x:c r="A66" s="16" t="n">
        <x:v>46237</x:v>
      </x:c>
      <x:c r="B66" s="17" t="str">
        <x:v>4087462822</x:v>
      </x:c>
      <x:c r="C66" s="18" t="str">
        <x:v>GAS RAL000224CZ4 LA PA MX</x:v>
      </x:c>
      <x:c r="D66" s="18" t="str"/>
      <x:c r="E66" s="18" t="str"/>
      <x:c r="F66" s="17" t="str"/>
      <x:c r="G66" s="19" t="str"/>
      <x:c r="H66" s="20" t="str"/>
      <x:c r="I66" s="19" t="str">
        <x:v>GAS RAL000224CZ4 LA PA MX</x:v>
      </x:c>
      <x:c r="J66" s="21" t="n">
        <x:v>554</x:v>
      </x:c>
      <x:c r="K66" s="21"/>
      <x:c r="L66" s="21" t="n">
        <x:v>196543.81</x:v>
      </x:c>
      <x:c r="M66" s="22" t="n">
        <x:v>7</x:v>
      </x:c>
    </x:row>
    <x:row r="67" ht="30" customHeight="1">
      <x:c r="A67" s="16" t="n">
        <x:v>46237</x:v>
      </x:c>
      <x:c r="B67" s="17" t="str">
        <x:v>4087462840</x:v>
      </x:c>
      <x:c r="C67" s="18" t="str">
        <x:v>GAS RAL000224CZ4 LA PA MX</x:v>
      </x:c>
      <x:c r="D67" s="18" t="str"/>
      <x:c r="E67" s="18" t="str"/>
      <x:c r="F67" s="17" t="str"/>
      <x:c r="G67" s="19" t="str"/>
      <x:c r="H67" s="20" t="str"/>
      <x:c r="I67" s="19" t="str">
        <x:v>GAS RAL000224CZ4 LA PA MX</x:v>
      </x:c>
      <x:c r="J67" s="21" t="n">
        <x:v>300</x:v>
      </x:c>
      <x:c r="K67" s="21"/>
      <x:c r="L67" s="21" t="n">
        <x:v>196243.81</x:v>
      </x:c>
      <x:c r="M67" s="22" t="n">
        <x:v>7</x:v>
      </x:c>
    </x:row>
    <x:row r="68" ht="30" customHeight="1">
      <x:c r="A68" s="16" t="n">
        <x:v>46237</x:v>
      </x:c>
      <x:c r="B68" s="17" t="str">
        <x:v>4087462855</x:v>
      </x:c>
      <x:c r="C68" s="18" t="str">
        <x:v>GAS REPSOL MX</x:v>
      </x:c>
      <x:c r="D68" s="18" t="str"/>
      <x:c r="E68" s="18" t="str"/>
      <x:c r="F68" s="17" t="str"/>
      <x:c r="G68" s="19" t="str"/>
      <x:c r="H68" s="20" t="str"/>
      <x:c r="I68" s="19" t="str">
        <x:v>GAS REPSOL MX</x:v>
      </x:c>
      <x:c r="J68" s="21" t="n">
        <x:v>500</x:v>
      </x:c>
      <x:c r="K68" s="21"/>
      <x:c r="L68" s="21" t="n">
        <x:v>195743.81</x:v>
      </x:c>
      <x:c r="M68" s="22" t="n">
        <x:v>7</x:v>
      </x:c>
    </x:row>
    <x:row r="69" ht="30" customHeight="1">
      <x:c r="A69" s="16" t="n">
        <x:v>46237</x:v>
      </x:c>
      <x:c r="B69" s="17" t="str">
        <x:v>4087462870</x:v>
      </x:c>
      <x:c r="C69" s="18" t="str">
        <x:v>CHEDRAUI 127 LA PAZ CO MX</x:v>
      </x:c>
      <x:c r="D69" s="18" t="str"/>
      <x:c r="E69" s="18" t="str"/>
      <x:c r="F69" s="17" t="str"/>
      <x:c r="G69" s="19" t="str"/>
      <x:c r="H69" s="20" t="str"/>
      <x:c r="I69" s="19" t="str">
        <x:v>CHEDRAUI 127 LA PAZ CO MX</x:v>
      </x:c>
      <x:c r="J69" s="21" t="n">
        <x:v>411</x:v>
      </x:c>
      <x:c r="K69" s="21"/>
      <x:c r="L69" s="21" t="n">
        <x:v>195332.81</x:v>
      </x:c>
      <x:c r="M69" s="22" t="n">
        <x:v>7</x:v>
      </x:c>
    </x:row>
    <x:row r="70" ht="30" customHeight="1">
      <x:c r="A70" s="16" t="n">
        <x:v>46237</x:v>
      </x:c>
      <x:c r="B70" s="17" t="str">
        <x:v>4087621488</x:v>
      </x:c>
      <x:c r="C70" s="18" t="str">
        <x:v>DEPOSITO SPEI</x:v>
      </x:c>
      <x:c r="D70" s="18" t="str">
        <x:v>JOHANNA PATRICIA VENEGAS CASTANEDA</x:v>
      </x:c>
      <x:c r="E70" s="18" t="str">
        <x:v>BANORTE</x:v>
      </x:c>
      <x:c r="F70" s="17" t="str">
        <x:v>CTA 072040013577938101</x:v>
      </x:c>
      <x:c r="G70" s="19" t="str">
        <x:v>260803 Sin informaci n</x:v>
      </x:c>
      <x:c r="H70" s="20" t="str">
        <x:v>RASTREO 38432P01202608035610097296</x:v>
      </x:c>
      <x:c r="I70" s="19" t="str">
        <x:v>DEPOSITO SPEI | JOHANNA PATRICIA VENEGAS CASTANEDA | BANORTE 072040013577938101 | 260803 Sin informaci n | CLAVE DE RASTREO 38432P01202608035610097296</x:v>
      </x:c>
      <x:c r="J70" s="21"/>
      <x:c r="K70" s="21" t="n">
        <x:v>2700</x:v>
      </x:c>
      <x:c r="L70" s="21" t="n">
        <x:v>198032.81</x:v>
      </x:c>
      <x:c r="M70" s="22" t="n">
        <x:v>7</x:v>
      </x:c>
    </x:row>
    <x:row r="71" ht="30" customHeight="1">
      <x:c r="A71" s="16" t="n">
        <x:v>46237</x:v>
      </x:c>
      <x:c r="B71" s="17" t="str">
        <x:v>4087631047</x:v>
      </x:c>
      <x:c r="C71" s="18" t="str">
        <x:v>DEPOSITO SPEI</x:v>
      </x:c>
      <x:c r="D71" s="18" t="str">
        <x:v>JOHANNA PATRICIA VENEGAS CASTANEDA</x:v>
      </x:c>
      <x:c r="E71" s="18" t="str">
        <x:v>BANORTE</x:v>
      </x:c>
      <x:c r="F71" s="17" t="str">
        <x:v>CTA 072040013577938101</x:v>
      </x:c>
      <x:c r="G71" s="19" t="str">
        <x:v>260803 Sin informaci n</x:v>
      </x:c>
      <x:c r="H71" s="20" t="str">
        <x:v>RASTREO 38432P03202608035610105417</x:v>
      </x:c>
      <x:c r="I71" s="19" t="str">
        <x:v>DEPOSITO SPEI | JOHANNA PATRICIA VENEGAS CASTANEDA | BANORTE 072040013577938101 | 260803 Sin informaci n | CLAVE DE RASTREO 38432P03202608035610105417</x:v>
      </x:c>
      <x:c r="J71" s="21"/>
      <x:c r="K71" s="21" t="n">
        <x:v>1700</x:v>
      </x:c>
      <x:c r="L71" s="21" t="n">
        <x:v>199732.81</x:v>
      </x:c>
      <x:c r="M71" s="22" t="n">
        <x:v>8</x:v>
      </x:c>
    </x:row>
    <x:row r="72" ht="30" customHeight="1">
      <x:c r="A72" s="16" t="n">
        <x:v>46237</x:v>
      </x:c>
      <x:c r="B72" s="17" t="str">
        <x:v>4087767908</x:v>
      </x:c>
      <x:c r="C72" s="18" t="str">
        <x:v>DEPOSITO SPEI</x:v>
      </x:c>
      <x:c r="D72" s="18" t="str">
        <x:v>CARMEN,GOMEZ/LUCERO</x:v>
      </x:c>
      <x:c r="E72" s="18" t="str">
        <x:v>BANAMEX</x:v>
      </x:c>
      <x:c r="F72" s="17" t="str">
        <x:v>CTA 002040702267422538</x:v>
      </x:c>
      <x:c r="G72" s="19" t="str">
        <x:v>28 pago terreno</x:v>
      </x:c>
      <x:c r="H72" s="20" t="str">
        <x:v>RASTREO 085905060114321564</x:v>
      </x:c>
      <x:c r="I72" s="19" t="str">
        <x:v>DEPOSITO SPEI | CARMEN,GOMEZ/LUCERO | BANAMEX 002040702267422538 | 28 pago terreno | CLAVE DE RASTREO 085905060114321564</x:v>
      </x:c>
      <x:c r="J72" s="21"/>
      <x:c r="K72" s="21" t="n">
        <x:v>1500</x:v>
      </x:c>
      <x:c r="L72" s="21" t="n">
        <x:v>201232.81</x:v>
      </x:c>
      <x:c r="M72" s="22" t="n">
        <x:v>8</x:v>
      </x:c>
    </x:row>
    <x:row r="73" ht="30" customHeight="1">
      <x:c r="A73" s="16" t="n">
        <x:v>46237</x:v>
      </x:c>
      <x:c r="B73" s="17" t="str">
        <x:v>4087814273</x:v>
      </x:c>
      <x:c r="C73" s="18" t="str">
        <x:v>DEPOSITO SPEI</x:v>
      </x:c>
      <x:c r="D73" s="18" t="str">
        <x:v>JOSE MANUEL,VELARDE/MOCTEZUMA</x:v>
      </x:c>
      <x:c r="E73" s="18" t="str">
        <x:v>BANAMEX</x:v>
      </x:c>
      <x:c r="F73" s="17" t="str">
        <x:v>CTA 002028902026241028</x:v>
      </x:c>
      <x:c r="G73" s="19" t="str">
        <x:v>30826 pago terreno 19 manzana 3</x:v>
      </x:c>
      <x:c r="H73" s="20" t="str">
        <x:v>RASTREO 085904193970321567</x:v>
      </x:c>
      <x:c r="I73" s="19" t="str">
        <x:v>DEPOSITO SPEI | JOSE MANUEL,VELARDE/MOCTEZUMA | BANAMEX 002028902026241028 | 30826 pago terreno 19 manzana 3 | CLAVE DE RASTREO 085904193970321567</x:v>
      </x:c>
      <x:c r="J73" s="21"/>
      <x:c r="K73" s="21" t="n">
        <x:v>1500</x:v>
      </x:c>
      <x:c r="L73" s="21" t="n">
        <x:v>202732.81</x:v>
      </x:c>
      <x:c r="M73" s="22" t="n">
        <x:v>8</x:v>
      </x:c>
    </x:row>
    <x:row r="74" ht="30" customHeight="1">
      <x:c r="A74" s="16" t="n">
        <x:v>46237</x:v>
      </x:c>
      <x:c r="B74" s="17" t="str">
        <x:v>4087816127</x:v>
      </x:c>
      <x:c r="C74" s="18" t="str">
        <x:v>DEPOSITO SPEI</x:v>
      </x:c>
      <x:c r="D74" s="18" t="str">
        <x:v>CARLOS ALBERTO LOPEZ RODRIGUEZ</x:v>
      </x:c>
      <x:c r="E74" s="18" t="str">
        <x:v>BBVA MEXICO</x:v>
      </x:c>
      <x:c r="F74" s="17" t="str">
        <x:v>CTA 012180015388015416</x:v>
      </x:c>
      <x:c r="G74" s="19" t="str">
        <x:v>2206260 carlos lopez mz 5 lote 7</x:v>
      </x:c>
      <x:c r="H74" s="20" t="str">
        <x:v>RASTREO MBAN01002608030089027668</x:v>
      </x:c>
      <x:c r="I74" s="19" t="str">
        <x:v>DEPOSITO SPEI | CARLOS ALBERTO LOPEZ RODRIGUEZ | BBVA MEXICO 012180015388015416 | 2206260 carlos lopez mz 5 lote 7 | CLAVE DE RASTREO MBAN01002608030089027668</x:v>
      </x:c>
      <x:c r="J74" s="21"/>
      <x:c r="K74" s="21" t="n">
        <x:v>2000</x:v>
      </x:c>
      <x:c r="L74" s="21" t="n">
        <x:v>204732.81</x:v>
      </x:c>
      <x:c r="M74" s="22" t="n">
        <x:v>8</x:v>
      </x:c>
    </x:row>
    <x:row r="75" ht="30" customHeight="1">
      <x:c r="A75" s="16" t="n">
        <x:v>46237</x:v>
      </x:c>
      <x:c r="B75" s="17" t="str">
        <x:v>4087819791</x:v>
      </x:c>
      <x:c r="C75" s="18" t="str">
        <x:v>DEPOSITO SPEI</x:v>
      </x:c>
      <x:c r="D75" s="18" t="str">
        <x:v>CARLOS ALBERTO LOPEZ RODRIGUEZ</x:v>
      </x:c>
      <x:c r="E75" s="18" t="str">
        <x:v>BBVA MEXICO</x:v>
      </x:c>
      <x:c r="F75" s="17" t="str">
        <x:v>CTA 012180015388015416</x:v>
      </x:c>
      <x:c r="G75" s="19" t="str">
        <x:v>2206260 carlos lopez mz 27 lote 8</x:v>
      </x:c>
      <x:c r="H75" s="20" t="str">
        <x:v>RASTREO MBAN01002608030089034565</x:v>
      </x:c>
      <x:c r="I75" s="19" t="str">
        <x:v>DEPOSITO SPEI | CARLOS ALBERTO LOPEZ RODRIGUEZ | BBVA MEXICO 012180015388015416 | 2206260 carlos lopez mz 27 lote 8 | CLAVE DE RASTREO MBAN01002608030089034565</x:v>
      </x:c>
      <x:c r="J75" s="21"/>
      <x:c r="K75" s="21" t="n">
        <x:v>1500</x:v>
      </x:c>
      <x:c r="L75" s="21" t="n">
        <x:v>206232.81</x:v>
      </x:c>
      <x:c r="M75" s="22" t="n">
        <x:v>8</x:v>
      </x:c>
    </x:row>
    <x:row r="76" ht="30" customHeight="1">
      <x:c r="A76" s="16" t="n">
        <x:v>46237</x:v>
      </x:c>
      <x:c r="B76" s="17" t="str">
        <x:v>4087821798</x:v>
      </x:c>
      <x:c r="C76" s="18" t="str">
        <x:v>DEPOSITO SPEI</x:v>
      </x:c>
      <x:c r="D76" s="18" t="str">
        <x:v>CARLOS ALBERTO LOPEZ RODRIGUEZ</x:v>
      </x:c>
      <x:c r="E76" s="18" t="str">
        <x:v>BBVA MEXICO</x:v>
      </x:c>
      <x:c r="F76" s="17" t="str">
        <x:v>CTA 012180015388015416</x:v>
      </x:c>
      <x:c r="G76" s="19" t="str">
        <x:v>2206260 carlos lopez mz 27 lote 9</x:v>
      </x:c>
      <x:c r="H76" s="20" t="str">
        <x:v>RASTREO MBAN01002608030089038199</x:v>
      </x:c>
      <x:c r="I76" s="19" t="str">
        <x:v>DEPOSITO SPEI | CARLOS ALBERTO LOPEZ RODRIGUEZ | BBVA MEXICO 012180015388015416 | 2206260 carlos lopez mz 27 lote 9 | CLAVE DE RASTREO MBAN01002608030089038199</x:v>
      </x:c>
      <x:c r="J76" s="21"/>
      <x:c r="K76" s="21" t="n">
        <x:v>1500</x:v>
      </x:c>
      <x:c r="L76" s="21" t="n">
        <x:v>207732.81</x:v>
      </x:c>
      <x:c r="M76" s="22" t="n">
        <x:v>8</x:v>
      </x:c>
    </x:row>
    <x:row r="77" ht="30" customHeight="1">
      <x:c r="A77" s="16" t="n">
        <x:v>46237</x:v>
      </x:c>
      <x:c r="B77" s="17" t="str">
        <x:v>4087823718</x:v>
      </x:c>
      <x:c r="C77" s="18" t="str">
        <x:v>DEPOSITO SPEI</x:v>
      </x:c>
      <x:c r="D77" s="18" t="str">
        <x:v>JOSE MANUEL,VELARDE/MOCTEZUMA</x:v>
      </x:c>
      <x:c r="E77" s="18" t="str">
        <x:v>BANAMEX</x:v>
      </x:c>
      <x:c r="F77" s="17" t="str">
        <x:v>CTA 002028902026241028</x:v>
      </x:c>
      <x:c r="G77" s="19" t="str">
        <x:v>30826 pago terreno 20 manzana3</x:v>
      </x:c>
      <x:c r="H77" s="20" t="str">
        <x:v>RASTREO 085904263850321561</x:v>
      </x:c>
      <x:c r="I77" s="19" t="str">
        <x:v>DEPOSITO SPEI | JOSE MANUEL,VELARDE/MOCTEZUMA | BANAMEX 002028902026241028 | 30826 pago terreno 20 manzana3 | CLAVE DE RASTREO 085904263850321561</x:v>
      </x:c>
      <x:c r="J77" s="21"/>
      <x:c r="K77" s="21" t="n">
        <x:v>1500</x:v>
      </x:c>
      <x:c r="L77" s="21" t="n">
        <x:v>209232.81</x:v>
      </x:c>
      <x:c r="M77" s="22" t="n">
        <x:v>8</x:v>
      </x:c>
    </x:row>
    <x:row r="78" ht="30" customHeight="1">
      <x:c r="A78" s="16" t="n">
        <x:v>46237</x:v>
      </x:c>
      <x:c r="B78" s="17" t="str">
        <x:v>4087894495</x:v>
      </x:c>
      <x:c r="C78" s="18" t="str">
        <x:v>DEPOSITO SPEI</x:v>
      </x:c>
      <x:c r="D78" s="18" t="str">
        <x:v>AMADA,PEREZ/ZAMUDIO</x:v>
      </x:c>
      <x:c r="E78" s="18" t="str">
        <x:v>BANAMEX</x:v>
      </x:c>
      <x:c r="F78" s="17" t="str">
        <x:v>CTA 002225904079920663</x:v>
      </x:c>
      <x:c r="G78" s="19" t="str">
        <x:v>10 manzana22lote33predpaloverdeBCS</x:v>
      </x:c>
      <x:c r="H78" s="20" t="str">
        <x:v>RASTREO 085905566604321561</x:v>
      </x:c>
      <x:c r="I78" s="19" t="str">
        <x:v>DEPOSITO SPEI | AMADA,PEREZ/ZAMUDIO | BANAMEX 002225904079920663 | 10 manzana22lote33predpaloverdeBCS | CLAVE DE RASTREO 085905566604321561</x:v>
      </x:c>
      <x:c r="J78" s="21"/>
      <x:c r="K78" s="21" t="n">
        <x:v>1500</x:v>
      </x:c>
      <x:c r="L78" s="21" t="n">
        <x:v>210732.81</x:v>
      </x:c>
      <x:c r="M78" s="22" t="n">
        <x:v>8</x:v>
      </x:c>
    </x:row>
    <x:row r="79" ht="30" customHeight="1">
      <x:c r="A79" s="16" t="n">
        <x:v>46237</x:v>
      </x:c>
      <x:c r="B79" s="17" t="str">
        <x:v>4087898699</x:v>
      </x:c>
      <x:c r="C79" s="18" t="str">
        <x:v>DEPOSITO SPEI</x:v>
      </x:c>
      <x:c r="D79" s="18" t="str">
        <x:v>AMADA,PEREZ/ZAMUDIO</x:v>
      </x:c>
      <x:c r="E79" s="18" t="str">
        <x:v>BANAMEX</x:v>
      </x:c>
      <x:c r="F79" s="17" t="str">
        <x:v>CTA 002225904079920663</x:v>
      </x:c>
      <x:c r="G79" s="19" t="str">
        <x:v>11 Manzana22lote34predpaloverdeBCS</x:v>
      </x:c>
      <x:c r="H79" s="20" t="str">
        <x:v>RASTREO 085905588774321560</x:v>
      </x:c>
      <x:c r="I79" s="19" t="str">
        <x:v>DEPOSITO SPEI | AMADA,PEREZ/ZAMUDIO | BANAMEX 002225904079920663 | 11 Manzana22lote34predpaloverdeBCS | CLAVE DE RASTREO 085905588774321560</x:v>
      </x:c>
      <x:c r="J79" s="21"/>
      <x:c r="K79" s="21" t="n">
        <x:v>1500</x:v>
      </x:c>
      <x:c r="L79" s="21" t="n">
        <x:v>212232.81</x:v>
      </x:c>
      <x:c r="M79" s="22" t="n">
        <x:v>8</x:v>
      </x:c>
    </x:row>
    <x:row r="80" ht="30" customHeight="1">
      <x:c r="A80" s="16" t="n">
        <x:v>46237</x:v>
      </x:c>
      <x:c r="B80" s="17" t="str">
        <x:v>4088007073</x:v>
      </x:c>
      <x:c r="C80" s="18" t="str">
        <x:v>DEPOSITO SPEI</x:v>
      </x:c>
      <x:c r="D80" s="18" t="str">
        <x:v>EDNA IRENE GONZALEZ RUBIO ACOSTA</x:v>
      </x:c>
      <x:c r="E80" s="18" t="str">
        <x:v>HSBC</x:v>
      </x:c>
      <x:c r="F80" s="17" t="str">
        <x:v>CTA 021040061539058653</x:v>
      </x:c>
      <x:c r="G80" s="19" t="str">
        <x:v>30826 PVD M21 L3</x:v>
      </x:c>
      <x:c r="H80" s="20" t="str">
        <x:v>RASTREO HSB6010368</x:v>
      </x:c>
      <x:c r="I80" s="19" t="str">
        <x:v>DEPOSITO SPEI | EDNA IRENE GONZALEZ RUBIO ACOSTA | HSBC 021040061539058653 | 30826 PVD M21 L3 | CLAVE DE RASTREO HSB6010368</x:v>
      </x:c>
      <x:c r="J80" s="21"/>
      <x:c r="K80" s="21" t="n">
        <x:v>3000</x:v>
      </x:c>
      <x:c r="L80" s="21" t="n">
        <x:v>215232.81</x:v>
      </x:c>
      <x:c r="M80" s="22" t="n">
        <x:v>8</x:v>
      </x:c>
    </x:row>
    <x:row r="81" ht="30" customHeight="1">
      <x:c r="A81" s="16" t="n">
        <x:v>46237</x:v>
      </x:c>
      <x:c r="B81" s="17" t="str">
        <x:v>4088016962</x:v>
      </x:c>
      <x:c r="C81" s="18" t="str">
        <x:v>DEPOSITO EN CUENTA</x:v>
      </x:c>
      <x:c r="D81" s="18" t="str"/>
      <x:c r="E81" s="18" t="str"/>
      <x:c r="F81" s="17" t="str"/>
      <x:c r="G81" s="19" t="str">
        <x:v>EFECTIVO 2,000.00</x:v>
      </x:c>
      <x:c r="H81" s="20" t="str"/>
      <x:c r="I81" s="19" t="str">
        <x:v>DEPOSITO EN CUENTA | EFECTIVO 2,000.00</x:v>
      </x:c>
      <x:c r="J81" s="21"/>
      <x:c r="K81" s="21" t="n">
        <x:v>2000</x:v>
      </x:c>
      <x:c r="L81" s="21" t="n">
        <x:v>217232.81</x:v>
      </x:c>
      <x:c r="M81" s="22" t="n">
        <x:v>9</x:v>
      </x:c>
    </x:row>
    <x:row r="82" ht="30" customHeight="1">
      <x:c r="A82" s="16" t="n">
        <x:v>46237</x:v>
      </x:c>
      <x:c r="B82" s="17" t="str">
        <x:v>4088247157</x:v>
      </x:c>
      <x:c r="C82" s="18" t="str">
        <x:v>DEPOSITO SPEI</x:v>
      </x:c>
      <x:c r="D82" s="18" t="str">
        <x:v>GIOVANNA PALACIOS REYNOSO</x:v>
      </x:c>
      <x:c r="E82" s="18" t="str">
        <x:v>BBVA MEXICO</x:v>
      </x:c>
      <x:c r="F82" s="17" t="str">
        <x:v>CTA 012040015123696185</x:v>
      </x:c>
      <x:c r="G82" s="19" t="str">
        <x:v>1707260 Giovanna PV M24L46</x:v>
      </x:c>
      <x:c r="H82" s="20" t="str">
        <x:v>RASTREO MBAN01002608030090206449</x:v>
      </x:c>
      <x:c r="I82" s="19" t="str">
        <x:v>DEPOSITO SPEI | GIOVANNA PALACIOS REYNOSO | BBVA MEXICO 012040015123696185 | 1707260 Giovanna PV M24L46 | CLAVE DE RASTREO MBAN01002608030090206449</x:v>
      </x:c>
      <x:c r="J82" s="21"/>
      <x:c r="K82" s="21" t="n">
        <x:v>1500</x:v>
      </x:c>
      <x:c r="L82" s="21" t="n">
        <x:v>218732.81</x:v>
      </x:c>
      <x:c r="M82" s="22" t="n">
        <x:v>9</x:v>
      </x:c>
    </x:row>
    <x:row r="83" ht="30" customHeight="1">
      <x:c r="A83" s="16" t="n">
        <x:v>46237</x:v>
      </x:c>
      <x:c r="B83" s="17" t="str">
        <x:v>4088277917</x:v>
      </x:c>
      <x:c r="C83" s="18" t="str">
        <x:v>DEPOSITO SPEI</x:v>
      </x:c>
      <x:c r="D83" s="18" t="str">
        <x:v>MICHELL GUADALUPE CORRAL CASTILLO</x:v>
      </x:c>
      <x:c r="E83" s="18" t="str">
        <x:v>Mercado Pago W</x:v>
      </x:c>
      <x:c r="F83" s="17" t="str">
        <x:v>CTA 722969010190066716</x:v>
      </x:c>
      <x:c r="G83" s="19" t="str">
        <x:v>6907926 Michell Gpe Corral Castillo (Recargos)</x:v>
      </x:c>
      <x:c r="H83" s="20" t="str">
        <x:v>RASTREO CPO171876907926</x:v>
      </x:c>
      <x:c r="I83" s="19" t="str">
        <x:v>DEPOSITO SPEI | MICHELL GUADALUPE CORRAL CASTILLO | Mercado Pago W 722969010190066716 | 6907926 Michell Gpe Corral Castillo (Recargos) | CLAVE DE RASTREO CPO171876907926</x:v>
      </x:c>
      <x:c r="J83" s="21"/>
      <x:c r="K83" s="21" t="n">
        <x:v>2000</x:v>
      </x:c>
      <x:c r="L83" s="21" t="n">
        <x:v>220732.81</x:v>
      </x:c>
      <x:c r="M83" s="22" t="n">
        <x:v>9</x:v>
      </x:c>
    </x:row>
    <x:row r="84" ht="30" customHeight="1">
      <x:c r="A84" s="16" t="n">
        <x:v>46237</x:v>
      </x:c>
      <x:c r="B84" s="17" t="str">
        <x:v>8202628967</x:v>
      </x:c>
      <x:c r="C84" s="18" t="str">
        <x:v>TRANSFERENCIA SPEI</x:v>
      </x:c>
      <x:c r="D84" s="18" t="str">
        <x:v>Efrén Peralta Guzman</x:v>
      </x:c>
      <x:c r="E84" s="18" t="str">
        <x:v>BBVA MEXICO</x:v>
      </x:c>
      <x:c r="F84" s="17" t="str">
        <x:v>CTA 012180015579460689</x:v>
      </x:c>
      <x:c r="G84" s="19" t="str">
        <x:v>20260803 Pago yaris | 036NAPP03082026289672599 RFC NO DISPONIBLE</x:v>
      </x:c>
      <x:c r="H84" s="20" t="str"/>
      <x:c r="I84" s="19" t="str">
        <x:v>TRANSFERENCIA SPEI | Efrén Peralta Guzman | BBVA MEXICO 012180015579460689 | 20260803 Pago yaris | 036NAPP03082026289672599 RFC NO DISPONIBLE</x:v>
      </x:c>
      <x:c r="J84" s="21" t="n">
        <x:v>80000</x:v>
      </x:c>
      <x:c r="K84" s="21"/>
      <x:c r="L84" s="21" t="n">
        <x:v>140732.81</x:v>
      </x:c>
      <x:c r="M84" s="22" t="n">
        <x:v>9</x:v>
      </x:c>
    </x:row>
    <x:row r="85" ht="30" customHeight="1">
      <x:c r="A85" s="16" t="n">
        <x:v>46237</x:v>
      </x:c>
      <x:c r="B85" s="17" t="str">
        <x:v>4088335148</x:v>
      </x:c>
      <x:c r="C85" s="18" t="str">
        <x:v>DEPOSITO SPEI</x:v>
      </x:c>
      <x:c r="D85" s="18" t="str">
        <x:v>SERGIO AMADEO GUERRA MONTIJO</x:v>
      </x:c>
      <x:c r="E85" s="18" t="str">
        <x:v>BANCOPPEL</x:v>
      </x:c>
      <x:c r="F85" s="17" t="str">
        <x:v>CTA 137040104426087630</x:v>
      </x:c>
      <x:c r="G85" s="19" t="str">
        <x:v>308261 Transf. a CARLOS AZAEL ARAUZA ROSAS</x:v>
      </x:c>
      <x:c r="H85" s="20" t="str">
        <x:v>RASTREO 50117630TRANSBPI47023194</x:v>
      </x:c>
      <x:c r="I85" s="19" t="str">
        <x:v>DEPOSITO SPEI | SERGIO AMADEO GUERRA MONTIJO | BANCOPPEL 137040104426087630 | 308261 Transf. a CARLOS AZAEL ARAUZA ROSAS | CLAVE DE RASTREO 50117630TRANSBPI47023194</x:v>
      </x:c>
      <x:c r="J85" s="21"/>
      <x:c r="K85" s="21" t="n">
        <x:v>1500</x:v>
      </x:c>
      <x:c r="L85" s="21" t="n">
        <x:v>142232.81</x:v>
      </x:c>
      <x:c r="M85" s="22" t="n">
        <x:v>9</x:v>
      </x:c>
    </x:row>
    <x:row r="86" ht="30" customHeight="1">
      <x:c r="A86" s="16" t="n">
        <x:v>46237</x:v>
      </x:c>
      <x:c r="B86" s="17" t="str">
        <x:v>4088336578</x:v>
      </x:c>
      <x:c r="C86" s="18" t="str">
        <x:v>DEPOSITO SPEI</x:v>
      </x:c>
      <x:c r="D86" s="18" t="str">
        <x:v>SERGIO AMADEO GUERRA MONTIJO</x:v>
      </x:c>
      <x:c r="E86" s="18" t="str">
        <x:v>BANCOPPEL</x:v>
      </x:c>
      <x:c r="F86" s="17" t="str">
        <x:v>CTA 137040104426087630</x:v>
      </x:c>
      <x:c r="G86" s="19" t="str">
        <x:v>308262 Transf. a CARLOS AZAEL ARAUZA ROSAS</x:v>
      </x:c>
      <x:c r="H86" s="20" t="str">
        <x:v>RASTREO 50117630TRANSBPI47038594</x:v>
      </x:c>
      <x:c r="I86" s="19" t="str">
        <x:v>DEPOSITO SPEI | SERGIO AMADEO GUERRA MONTIJO | BANCOPPEL 137040104426087630 | 308262 Transf. a CARLOS AZAEL ARAUZA ROSAS | CLAVE DE RASTREO 50117630TRANSBPI47038594</x:v>
      </x:c>
      <x:c r="J86" s="21"/>
      <x:c r="K86" s="21" t="n">
        <x:v>1500</x:v>
      </x:c>
      <x:c r="L86" s="21" t="n">
        <x:v>143732.81</x:v>
      </x:c>
      <x:c r="M86" s="22" t="n">
        <x:v>9</x:v>
      </x:c>
    </x:row>
    <x:row r="87" ht="30" customHeight="1">
      <x:c r="A87" s="16" t="n">
        <x:v>46237</x:v>
      </x:c>
      <x:c r="B87" s="17" t="str">
        <x:v>4088337009</x:v>
      </x:c>
      <x:c r="C87" s="18" t="str">
        <x:v>DEPOSITO SPEI</x:v>
      </x:c>
      <x:c r="D87" s="18" t="str">
        <x:v>MARLENE AGUILAR PENA</x:v>
      </x:c>
      <x:c r="E87" s="18" t="str">
        <x:v>BANCOPPEL</x:v>
      </x:c>
      <x:c r="F87" s="17" t="str">
        <x:v>CTA 137040102516589655</x:v>
      </x:c>
      <x:c r="G87" s="19" t="str">
        <x:v>308260 Transf. Manzana 29 lote 1.</x:v>
      </x:c>
      <x:c r="H87" s="20" t="str">
        <x:v>RASTREO 50119655TRANSBPI47043672</x:v>
      </x:c>
      <x:c r="I87" s="19" t="str">
        <x:v>DEPOSITO SPEI | MARLENE AGUILAR PENA | BANCOPPEL 137040102516589655 | 308260 Transf. Manzana 29 lote 1. | CLAVE DE RASTREO 50119655TRANSBPI47043672</x:v>
      </x:c>
      <x:c r="J87" s="21"/>
      <x:c r="K87" s="21" t="n">
        <x:v>2389</x:v>
      </x:c>
      <x:c r="L87" s="21" t="n">
        <x:v>146121.81</x:v>
      </x:c>
      <x:c r="M87" s="22" t="n">
        <x:v>9</x:v>
      </x:c>
    </x:row>
    <x:row r="88" ht="30" customHeight="1">
      <x:c r="A88" s="16" t="n">
        <x:v>46237</x:v>
      </x:c>
      <x:c r="B88" s="17" t="str">
        <x:v>4088338229</x:v>
      </x:c>
      <x:c r="C88" s="18" t="str">
        <x:v>DEPOSITO SPEI</x:v>
      </x:c>
      <x:c r="D88" s="18" t="str">
        <x:v>SERGIO AMADEO GUERRA MONTIJO</x:v>
      </x:c>
      <x:c r="E88" s="18" t="str">
        <x:v>BANCOPPEL</x:v>
      </x:c>
      <x:c r="F88" s="17" t="str">
        <x:v>CTA 137040104426087630</x:v>
      </x:c>
      <x:c r="G88" s="19" t="str">
        <x:v>308263 Transf. a CARLOS AZAEL ARAUZA ROSAS</x:v>
      </x:c>
      <x:c r="H88" s="20" t="str">
        <x:v>RASTREO 50117630TRANSBPI47057404</x:v>
      </x:c>
      <x:c r="I88" s="19" t="str">
        <x:v>DEPOSITO SPEI | SERGIO AMADEO GUERRA MONTIJO | BANCOPPEL 137040104426087630 | 308263 Transf. a CARLOS AZAEL ARAUZA ROSAS | CLAVE DE RASTREO 50117630TRANSBPI47057404</x:v>
      </x:c>
      <x:c r="J88" s="21"/>
      <x:c r="K88" s="21" t="n">
        <x:v>1500</x:v>
      </x:c>
      <x:c r="L88" s="21" t="n">
        <x:v>147621.81</x:v>
      </x:c>
      <x:c r="M88" s="22" t="n">
        <x:v>9</x:v>
      </x:c>
    </x:row>
    <x:row r="89" ht="30" customHeight="1">
      <x:c r="A89" s="16" t="n">
        <x:v>46237</x:v>
      </x:c>
      <x:c r="B89" s="17" t="str">
        <x:v>4088362689</x:v>
      </x:c>
      <x:c r="C89" s="18" t="str">
        <x:v>DEPOSITO SPEI</x:v>
      </x:c>
      <x:c r="D89" s="18" t="str">
        <x:v>JESUS EFRAIN LUCERO CEBALLOS</x:v>
      </x:c>
      <x:c r="E89" s="18" t="str">
        <x:v>SANTANDER</x:v>
      </x:c>
      <x:c r="F89" s="17" t="str">
        <x:v>CTA 014040568846587903</x:v>
      </x:c>
      <x:c r="G89" s="19" t="str">
        <x:v>4712895 ANUALIDAD L22 MZ17</x:v>
      </x:c>
      <x:c r="H89" s="20" t="str">
        <x:v>RASTREO 2026080340014BMOVP000450514110</x:v>
      </x:c>
      <x:c r="I89" s="19" t="str">
        <x:v>DEPOSITO SPEI | JESUS EFRAIN LUCERO CEBALLOS | SANTANDER 014040568846587903 | 4712895 ANUALIDAD L22 MZ17 | CLAVE DE RASTREO 2026080340014BMOVP000450514110</x:v>
      </x:c>
      <x:c r="J89" s="21"/>
      <x:c r="K89" s="21" t="n">
        <x:v>10667</x:v>
      </x:c>
      <x:c r="L89" s="21" t="n">
        <x:v>158288.81</x:v>
      </x:c>
      <x:c r="M89" s="22" t="n">
        <x:v>9</x:v>
      </x:c>
    </x:row>
    <x:row r="90" ht="30" customHeight="1">
      <x:c r="A90" s="16" t="n">
        <x:v>46237</x:v>
      </x:c>
      <x:c r="B90" s="17" t="str">
        <x:v>4088366243</x:v>
      </x:c>
      <x:c r="C90" s="18" t="str">
        <x:v>DEPOSITO SPEI</x:v>
      </x:c>
      <x:c r="D90" s="18" t="str">
        <x:v>GUILLERMO IVAN GARCIA MARTINEZ</x:v>
      </x:c>
      <x:c r="E90" s="18" t="str">
        <x:v>BBVA MEXICO</x:v>
      </x:c>
      <x:c r="F90" s="17" t="str">
        <x:v>CTA 012438015134965844</x:v>
      </x:c>
      <x:c r="G90" s="19" t="str">
        <x:v>3107260 MZ13 LT17</x:v>
      </x:c>
      <x:c r="H90" s="20" t="str">
        <x:v>RASTREO MBAN01002608030090740546</x:v>
      </x:c>
      <x:c r="I90" s="19" t="str">
        <x:v>DEPOSITO SPEI | GUILLERMO IVAN GARCIA MARTINEZ | BBVA MEXICO 012438015134965844 | 3107260 MZ13 LT17 | CLAVE DE RASTREO MBAN01002608030090740546</x:v>
      </x:c>
      <x:c r="J90" s="21"/>
      <x:c r="K90" s="21" t="n">
        <x:v>1500</x:v>
      </x:c>
      <x:c r="L90" s="21" t="n">
        <x:v>159788.81</x:v>
      </x:c>
      <x:c r="M90" s="22" t="n">
        <x:v>9</x:v>
      </x:c>
    </x:row>
    <x:row r="91" ht="30" customHeight="1">
      <x:c r="A91" s="16" t="n">
        <x:v>46237</x:v>
      </x:c>
      <x:c r="B91" s="17" t="str">
        <x:v>4088366298</x:v>
      </x:c>
      <x:c r="C91" s="18" t="str">
        <x:v>DEPOSITO SPEI</x:v>
      </x:c>
      <x:c r="D91" s="18" t="str">
        <x:v>JESUS EFRAIN LUCERO CEBALLOS</x:v>
      </x:c>
      <x:c r="E91" s="18" t="str">
        <x:v>SANTANDER</x:v>
      </x:c>
      <x:c r="F91" s="17" t="str">
        <x:v>CTA 014040568846587903</x:v>
      </x:c>
      <x:c r="G91" s="19" t="str">
        <x:v>1816003 MENSUALIDAD L 13 MZ 17</x:v>
      </x:c>
      <x:c r="H91" s="20" t="str">
        <x:v>RASTREO 2026080340014BMOVP000450626900</x:v>
      </x:c>
      <x:c r="I91" s="19" t="str">
        <x:v>DEPOSITO SPEI | JESUS EFRAIN LUCERO CEBALLOS | SANTANDER 014040568846587903 | 1816003 MENSUALIDAD L 13 MZ 17 | CLAVE DE RASTREO 2026080340014BMOVP000450626900</x:v>
      </x:c>
      <x:c r="J91" s="21"/>
      <x:c r="K91" s="21" t="n">
        <x:v>1500</x:v>
      </x:c>
      <x:c r="L91" s="21" t="n">
        <x:v>161288.81</x:v>
      </x:c>
      <x:c r="M91" s="22" t="n">
        <x:v>10</x:v>
      </x:c>
    </x:row>
    <x:row r="92" ht="30" customHeight="1">
      <x:c r="A92" s="16" t="n">
        <x:v>46237</x:v>
      </x:c>
      <x:c r="B92" s="17" t="str">
        <x:v>4088369014</x:v>
      </x:c>
      <x:c r="C92" s="18" t="str">
        <x:v>DEPOSITO SPEI</x:v>
      </x:c>
      <x:c r="D92" s="18" t="str">
        <x:v>JESUS EFRAIN LUCERO CEBALLOS</x:v>
      </x:c>
      <x:c r="E92" s="18" t="str">
        <x:v>SANTANDER</x:v>
      </x:c>
      <x:c r="F92" s="17" t="str">
        <x:v>CTA 014040568846587903</x:v>
      </x:c>
      <x:c r="G92" s="19" t="str">
        <x:v>3590865 MENSUALIDAD L 22 MZ17</x:v>
      </x:c>
      <x:c r="H92" s="20" t="str">
        <x:v>RASTREO 2026080340014BMOVP000450691890</x:v>
      </x:c>
      <x:c r="I92" s="19" t="str">
        <x:v>DEPOSITO SPEI | JESUS EFRAIN LUCERO CEBALLOS | SANTANDER 014040568846587903 | 3590865 MENSUALIDAD L 22 MZ17 | CLAVE DE RASTREO 2026080340014BMOVP000450691890</x:v>
      </x:c>
      <x:c r="J92" s="21"/>
      <x:c r="K92" s="21" t="n">
        <x:v>1500</x:v>
      </x:c>
      <x:c r="L92" s="21" t="n">
        <x:v>162788.81</x:v>
      </x:c>
      <x:c r="M92" s="22" t="n">
        <x:v>10</x:v>
      </x:c>
    </x:row>
    <x:row r="93" ht="30" customHeight="1">
      <x:c r="A93" s="16" t="n">
        <x:v>46237</x:v>
      </x:c>
      <x:c r="B93" s="17" t="str">
        <x:v>4088398494</x:v>
      </x:c>
      <x:c r="C93" s="18" t="str">
        <x:v>PAPICHULO TURS MX</x:v>
      </x:c>
      <x:c r="D93" s="18" t="str"/>
      <x:c r="E93" s="18" t="str"/>
      <x:c r="F93" s="17" t="str"/>
      <x:c r="G93" s="19" t="str"/>
      <x:c r="H93" s="20" t="str"/>
      <x:c r="I93" s="19" t="str">
        <x:v>PAPICHULO TURS MX</x:v>
      </x:c>
      <x:c r="J93" s="21" t="n">
        <x:v>5100</x:v>
      </x:c>
      <x:c r="K93" s="21"/>
      <x:c r="L93" s="21" t="n">
        <x:v>157688.81</x:v>
      </x:c>
      <x:c r="M93" s="22" t="n">
        <x:v>10</x:v>
      </x:c>
    </x:row>
    <x:row r="94" ht="30" customHeight="1">
      <x:c r="A94" s="16" t="n">
        <x:v>46237</x:v>
      </x:c>
      <x:c r="B94" s="17" t="str">
        <x:v>4088398516</x:v>
      </x:c>
      <x:c r="C94" s="18" t="str">
        <x:v>OXXO COLIMA LAP MX</x:v>
      </x:c>
      <x:c r="D94" s="18" t="str"/>
      <x:c r="E94" s="18" t="str"/>
      <x:c r="F94" s="17" t="str"/>
      <x:c r="G94" s="19" t="str"/>
      <x:c r="H94" s="20" t="str"/>
      <x:c r="I94" s="19" t="str">
        <x:v>OXXO COLIMA LAP MX</x:v>
      </x:c>
      <x:c r="J94" s="21" t="n">
        <x:v>268</x:v>
      </x:c>
      <x:c r="K94" s="21"/>
      <x:c r="L94" s="21" t="n">
        <x:v>157420.81</x:v>
      </x:c>
      <x:c r="M94" s="22" t="n">
        <x:v>10</x:v>
      </x:c>
    </x:row>
    <x:row r="95" ht="30" customHeight="1">
      <x:c r="A95" s="16" t="n">
        <x:v>46237</x:v>
      </x:c>
      <x:c r="B95" s="17" t="str">
        <x:v>4088398544</x:v>
      </x:c>
      <x:c r="C95" s="18" t="str">
        <x:v>COM RAP ZAMASHI MX</x:v>
      </x:c>
      <x:c r="D95" s="18" t="str"/>
      <x:c r="E95" s="18" t="str"/>
      <x:c r="F95" s="17" t="str"/>
      <x:c r="G95" s="19" t="str"/>
      <x:c r="H95" s="20" t="str"/>
      <x:c r="I95" s="19" t="str">
        <x:v>COM RAP ZAMASHI MX</x:v>
      </x:c>
      <x:c r="J95" s="21" t="n">
        <x:v>2700.5</x:v>
      </x:c>
      <x:c r="K95" s="21"/>
      <x:c r="L95" s="21" t="n">
        <x:v>154720.31</x:v>
      </x:c>
      <x:c r="M95" s="22" t="n">
        <x:v>10</x:v>
      </x:c>
    </x:row>
    <x:row r="96" ht="30" customHeight="1">
      <x:c r="A96" s="16" t="n">
        <x:v>46237</x:v>
      </x:c>
      <x:c r="B96" s="17" t="str">
        <x:v>4088448052</x:v>
      </x:c>
      <x:c r="C96" s="18" t="str">
        <x:v>DEPOSITO SPEI</x:v>
      </x:c>
      <x:c r="D96" s="18" t="str">
        <x:v>PATRICIA BARROSO ARIAS</x:v>
      </x:c>
      <x:c r="E96" s="18" t="str">
        <x:v>BBVA MEXICO</x:v>
      </x:c>
      <x:c r="F96" s="17" t="str">
        <x:v>CTA 012691015706010207</x:v>
      </x:c>
      <x:c r="G96" s="19" t="str">
        <x:v>3107260 PVDM28-L13</x:v>
      </x:c>
      <x:c r="H96" s="20" t="str">
        <x:v>RASTREO MBAN01002608030090957801</x:v>
      </x:c>
      <x:c r="I96" s="19" t="str">
        <x:v>DEPOSITO SPEI | PATRICIA BARROSO ARIAS | BBVA MEXICO 012691015706010207 | 3107260 PVDM28-L13 | CLAVE DE RASTREO MBAN01002608030090957801</x:v>
      </x:c>
      <x:c r="J96" s="21"/>
      <x:c r="K96" s="21" t="n">
        <x:v>1500</x:v>
      </x:c>
      <x:c r="L96" s="21" t="n">
        <x:v>156220.31</x:v>
      </x:c>
      <x:c r="M96" s="22" t="n">
        <x:v>10</x:v>
      </x:c>
    </x:row>
    <x:row r="97" ht="30" customHeight="1">
      <x:c r="A97" s="16" t="n">
        <x:v>46237</x:v>
      </x:c>
      <x:c r="B97" s="17" t="str">
        <x:v>4088465742</x:v>
      </x:c>
      <x:c r="C97" s="18" t="str">
        <x:v>DEPOSITO SPEI</x:v>
      </x:c>
      <x:c r="D97" s="18" t="str">
        <x:v>JUANA LORENA PEREZ ZAMUDIO</x:v>
      </x:c>
      <x:c r="E97" s="18" t="str">
        <x:v>BBVA MEXICO</x:v>
      </x:c>
      <x:c r="F97" s="17" t="str">
        <x:v>CTA 012040015726608981</x:v>
      </x:c>
      <x:c r="G97" s="19" t="str">
        <x:v>2206260 terre M-21L-7 Juana Lorena Perez Zamudio</x:v>
      </x:c>
      <x:c r="H97" s="20" t="str">
        <x:v>RASTREO MBAN01002608030090983229</x:v>
      </x:c>
      <x:c r="I97" s="19" t="str">
        <x:v>DEPOSITO SPEI | JUANA LORENA PEREZ ZAMUDIO | BBVA MEXICO 012040015726608981 | 2206260 terre M-21L-7 Juana Lorena Perez Zamudio | CLAVE DE RASTREO MBAN01002608030090983229</x:v>
      </x:c>
      <x:c r="J97" s="21"/>
      <x:c r="K97" s="21" t="n">
        <x:v>1500</x:v>
      </x:c>
      <x:c r="L97" s="21" t="n">
        <x:v>157720.31</x:v>
      </x:c>
      <x:c r="M97" s="22" t="n">
        <x:v>10</x:v>
      </x:c>
    </x:row>
    <x:row r="98" ht="30" customHeight="1">
      <x:c r="A98" s="16" t="n">
        <x:v>46237</x:v>
      </x:c>
      <x:c r="B98" s="17" t="str">
        <x:v>4088467463</x:v>
      </x:c>
      <x:c r="C98" s="18" t="str">
        <x:v>DEPOSITO SPEI</x:v>
      </x:c>
      <x:c r="D98" s="18" t="str">
        <x:v>JUANA LORENA PEREZ ZAMUDIO</x:v>
      </x:c>
      <x:c r="E98" s="18" t="str">
        <x:v>BBVA MEXICO</x:v>
      </x:c>
      <x:c r="F98" s="17" t="str">
        <x:v>CTA 012040015726608981</x:v>
      </x:c>
      <x:c r="G98" s="19" t="str">
        <x:v>2206260 terre M-21 L-8 Juana Lorena Perez Zamudi</x:v>
      </x:c>
      <x:c r="H98" s="20" t="str">
        <x:v>RASTREO MBAN01002608030090999990</x:v>
      </x:c>
      <x:c r="I98" s="19" t="str">
        <x:v>DEPOSITO SPEI | JUANA LORENA PEREZ ZAMUDIO | BBVA MEXICO 012040015726608981 | 2206260 terre M-21 L-8 Juana Lorena Perez Zamudi | CLAVE DE RASTREO MBAN01002608030090999990</x:v>
      </x:c>
      <x:c r="J98" s="21"/>
      <x:c r="K98" s="21" t="n">
        <x:v>1500</x:v>
      </x:c>
      <x:c r="L98" s="21" t="n">
        <x:v>159220.31</x:v>
      </x:c>
      <x:c r="M98" s="22" t="n">
        <x:v>10</x:v>
      </x:c>
    </x:row>
    <x:row r="99" ht="30" customHeight="1">
      <x:c r="A99" s="16" t="n">
        <x:v>46237</x:v>
      </x:c>
      <x:c r="B99" s="17" t="str">
        <x:v>4088481782</x:v>
      </x:c>
      <x:c r="C99" s="18" t="str">
        <x:v>DEPOSITO SPEI</x:v>
      </x:c>
      <x:c r="D99" s="18" t="str">
        <x:v>MIRNA LORENA GALVEZ FIGUEROA</x:v>
      </x:c>
      <x:c r="E99" s="18" t="str">
        <x:v>BBVA MEXICO</x:v>
      </x:c>
      <x:c r="F99" s="17" t="str">
        <x:v>CTA 012040015482864153</x:v>
      </x:c>
      <x:c r="G99" s="19" t="str">
        <x:v>3107260 PVerde manz 8 lote 24 agosto na L Galvez</x:v>
      </x:c>
      <x:c r="H99" s="20" t="str">
        <x:v>RASTREO MBAN01002608030091040540</x:v>
      </x:c>
      <x:c r="I99" s="19" t="str">
        <x:v>DEPOSITO SPEI | MIRNA LORENA GALVEZ FIGUEROA | BBVA MEXICO 012040015482864153 | 3107260 PVerde manz 8 lote 24 agosto na L Galvez | CLAVE DE RASTREO MBAN01002608030091040540</x:v>
      </x:c>
      <x:c r="J99" s="21"/>
      <x:c r="K99" s="21" t="n">
        <x:v>1500</x:v>
      </x:c>
      <x:c r="L99" s="21" t="n">
        <x:v>160720.31</x:v>
      </x:c>
      <x:c r="M99" s="22" t="n">
        <x:v>10</x:v>
      </x:c>
    </x:row>
    <x:row r="100" ht="30" customHeight="1">
      <x:c r="A100" s="16" t="n">
        <x:v>46237</x:v>
      </x:c>
      <x:c r="B100" s="17" t="str">
        <x:v>4088588159</x:v>
      </x:c>
      <x:c r="C100" s="18" t="str">
        <x:v>DEPOSITO INBURED</x:v>
      </x:c>
      <x:c r="D100" s="18" t="str"/>
      <x:c r="E100" s="18" t="str"/>
      <x:c r="F100" s="17" t="str"/>
      <x:c r="G100" s="19" t="str">
        <x:v>mza26lt33mariaelicenafelixnavarro</x:v>
      </x:c>
      <x:c r="H100" s="20" t="str"/>
      <x:c r="I100" s="19" t="str">
        <x:v>DEPOSITO INBURED | mza26lt33mariaelicenafelixnavarro</x:v>
      </x:c>
      <x:c r="J100" s="21"/>
      <x:c r="K100" s="21" t="n">
        <x:v>1500</x:v>
      </x:c>
      <x:c r="L100" s="21" t="n">
        <x:v>162220.31</x:v>
      </x:c>
      <x:c r="M100" s="22" t="n">
        <x:v>10</x:v>
      </x:c>
    </x:row>
    <x:row r="101" ht="30" customHeight="1">
      <x:c r="A101" s="16" t="n">
        <x:v>46237</x:v>
      </x:c>
      <x:c r="B101" s="17" t="str">
        <x:v>4088603593</x:v>
      </x:c>
      <x:c r="C101" s="18" t="str">
        <x:v>DEPOSITO SPEI</x:v>
      </x:c>
      <x:c r="D101" s="18" t="str">
        <x:v>ISELA NOHEMI URBINA RODRIGUEZ</x:v>
      </x:c>
      <x:c r="E101" s="18" t="str">
        <x:v>SANTANDER</x:v>
      </x:c>
      <x:c r="F101" s="17" t="str">
        <x:v>CTA 014040568467423585</x:v>
      </x:c>
      <x:c r="G101" s="19" t="str">
        <x:v>858523 TRANSFERENCIA A CARLOS AZAEL ARAUZA ROSA</x:v>
      </x:c>
      <x:c r="H101" s="20" t="str">
        <x:v>RASTREO 2026080340014BMOVP000454844030</x:v>
      </x:c>
      <x:c r="I101" s="19" t="str">
        <x:v>DEPOSITO SPEI | ISELA NOHEMI URBINA RODRIGUEZ | SANTANDER 014040568467423585 | 858523 TRANSFERENCIA A CARLOS AZAEL ARAUZA ROSA | CLAVE DE RASTREO 2026080340014BMOVP000454844030</x:v>
      </x:c>
      <x:c r="J101" s="21"/>
      <x:c r="K101" s="21" t="n">
        <x:v>2388</x:v>
      </x:c>
      <x:c r="L101" s="21" t="n">
        <x:v>164608.31</x:v>
      </x:c>
      <x:c r="M101" s="22" t="n">
        <x:v>10</x:v>
      </x:c>
    </x:row>
    <x:row r="102" ht="30" customHeight="1">
      <x:c r="A102" s="16" t="n">
        <x:v>46237</x:v>
      </x:c>
      <x:c r="B102" s="17" t="str">
        <x:v>4088707108</x:v>
      </x:c>
      <x:c r="C102" s="18" t="str">
        <x:v>DEPOSITO SPEI</x:v>
      </x:c>
      <x:c r="D102" s="18" t="str">
        <x:v>LILIANA GUADALUPE LARA SOLORZANO</x:v>
      </x:c>
      <x:c r="E102" s="18" t="str">
        <x:v>BANCOPPEL</x:v>
      </x:c>
      <x:c r="F102" s="17" t="str">
        <x:v>CTA 137040102425686869</x:v>
      </x:c>
      <x:c r="G102" s="19" t="str">
        <x:v>308260 PV M29 L03</x:v>
      </x:c>
      <x:c r="H102" s="20" t="str">
        <x:v>RASTREO 50116869TRANSBPI50248288</x:v>
      </x:c>
      <x:c r="I102" s="19" t="str">
        <x:v>DEPOSITO SPEI | LILIANA GUADALUPE LARA SOLORZANO | BANCOPPEL 137040102425686869 | 308260 PV M29 L03 | CLAVE DE RASTREO 50116869TRANSBPI50248288</x:v>
      </x:c>
      <x:c r="J102" s="21"/>
      <x:c r="K102" s="21" t="n">
        <x:v>2389</x:v>
      </x:c>
      <x:c r="L102" s="21" t="n">
        <x:v>166997.31</x:v>
      </x:c>
      <x:c r="M102" s="22" t="n">
        <x:v>10</x:v>
      </x:c>
    </x:row>
    <x:row r="103" ht="30" customHeight="1">
      <x:c r="A103" s="16" t="n">
        <x:v>46237</x:v>
      </x:c>
      <x:c r="B103" s="17" t="str">
        <x:v>4088774943</x:v>
      </x:c>
      <x:c r="C103" s="18" t="str">
        <x:v>DEPOSITO SPEI</x:v>
      </x:c>
      <x:c r="D103" s="18" t="str">
        <x:v>MIGUEL ANGEL DE LA TOBA SANCHEZ</x:v>
      </x:c>
      <x:c r="E103" s="18" t="str">
        <x:v>BANCOPPEL</x:v>
      </x:c>
      <x:c r="F103" s="17" t="str">
        <x:v>CTA 137040104047239825</x:v>
      </x:c>
      <x:c r="G103" s="19" t="str">
        <x:v>308260 mza 5 lote 16</x:v>
      </x:c>
      <x:c r="H103" s="20" t="str">
        <x:v>RASTREO 50119825TRANSBPI51019696</x:v>
      </x:c>
      <x:c r="I103" s="19" t="str">
        <x:v>DEPOSITO SPEI | MIGUEL ANGEL DE LA TOBA SANCHEZ | BANCOPPEL 137040104047239825 | 308260 mza 5 lote 16 | CLAVE DE RASTREO 50119825TRANSBPI51019696</x:v>
      </x:c>
      <x:c r="J103" s="21"/>
      <x:c r="K103" s="21" t="n">
        <x:v>1500</x:v>
      </x:c>
      <x:c r="L103" s="21" t="n">
        <x:v>168497.31</x:v>
      </x:c>
      <x:c r="M103" s="22" t="n">
        <x:v>11</x:v>
      </x:c>
    </x:row>
    <x:row r="104" ht="30" customHeight="1">
      <x:c r="A104" s="16" t="n">
        <x:v>46237</x:v>
      </x:c>
      <x:c r="B104" s="17" t="str">
        <x:v>4088776193</x:v>
      </x:c>
      <x:c r="C104" s="18" t="str">
        <x:v>DEPOSITO SPEI</x:v>
      </x:c>
      <x:c r="D104" s="18" t="str">
        <x:v>MIGUEL ANGEL DE LA TOBA SANCHEZ</x:v>
      </x:c>
      <x:c r="E104" s="18" t="str">
        <x:v>BANCOPPEL</x:v>
      </x:c>
      <x:c r="F104" s="17" t="str">
        <x:v>CTA 137040104047239825</x:v>
      </x:c>
      <x:c r="G104" s="19" t="str">
        <x:v>308261 mza5 lote 17</x:v>
      </x:c>
      <x:c r="H104" s="20" t="str">
        <x:v>RASTREO 50119825TRANSBPI51037026</x:v>
      </x:c>
      <x:c r="I104" s="19" t="str">
        <x:v>DEPOSITO SPEI | MIGUEL ANGEL DE LA TOBA SANCHEZ | BANCOPPEL 137040104047239825 | 308261 mza5 lote 17 | CLAVE DE RASTREO 50119825TRANSBPI51037026</x:v>
      </x:c>
      <x:c r="J104" s="21"/>
      <x:c r="K104" s="21" t="n">
        <x:v>1500</x:v>
      </x:c>
      <x:c r="L104" s="21" t="n">
        <x:v>169997.31</x:v>
      </x:c>
      <x:c r="M104" s="22" t="n">
        <x:v>11</x:v>
      </x:c>
    </x:row>
    <x:row r="105" ht="30" customHeight="1">
      <x:c r="A105" s="16" t="n">
        <x:v>46237</x:v>
      </x:c>
      <x:c r="B105" s="17" t="str">
        <x:v>8202628974</x:v>
      </x:c>
      <x:c r="C105" s="18" t="str">
        <x:v>TRANSFERENCIA SPEI</x:v>
      </x:c>
      <x:c r="D105" s="18" t="str">
        <x:v>Jesica Lucia Nares Martinez</x:v>
      </x:c>
      <x:c r="E105" s="18" t="str">
        <x:v>BANAMEX</x:v>
      </x:c>
      <x:c r="F105" s="17" t="str">
        <x:v>CTA 5204166289290597</x:v>
      </x:c>
      <x:c r="G105" s="19" t="str">
        <x:v>20260803 Pago | 036NAPP03082026289741340 RFC NO DISPONIBLE</x:v>
      </x:c>
      <x:c r="H105" s="20" t="str"/>
      <x:c r="I105" s="19" t="str">
        <x:v>TRANSFERENCIA SPEI | Jesica Lucia Nares Martinez | BANAMEX 5204166289290597 | 20260803 Pago | 036NAPP03082026289741340 RFC NO DISPONIBLE</x:v>
      </x:c>
      <x:c r="J105" s="21" t="n">
        <x:v>15000</x:v>
      </x:c>
      <x:c r="K105" s="21"/>
      <x:c r="L105" s="21" t="n">
        <x:v>154997.31</x:v>
      </x:c>
      <x:c r="M105" s="22" t="n">
        <x:v>11</x:v>
      </x:c>
    </x:row>
    <x:row r="106" ht="30" customHeight="1">
      <x:c r="A106" s="16" t="n">
        <x:v>46237</x:v>
      </x:c>
      <x:c r="B106" s="17" t="str">
        <x:v>4088917950</x:v>
      </x:c>
      <x:c r="C106" s="18" t="str">
        <x:v>DEPOSITO SPEI</x:v>
      </x:c>
      <x:c r="D106" s="18" t="str">
        <x:v>LUIS ABRAHAM PENA NARVAEZ</x:v>
      </x:c>
      <x:c r="E106" s="18" t="str">
        <x:v>BANCOPPEL</x:v>
      </x:c>
      <x:c r="F106" s="17" t="str">
        <x:v>CTA 137622104350865812</x:v>
      </x:c>
      <x:c r="G106" s="19" t="str">
        <x:v>308261 Transf. a CARLOS AZAEL ARAUZA ROSAS</x:v>
      </x:c>
      <x:c r="H106" s="20" t="str">
        <x:v>RASTREO 50115812TRANSBPI52324900</x:v>
      </x:c>
      <x:c r="I106" s="19" t="str">
        <x:v>DEPOSITO SPEI | LUIS ABRAHAM PENA NARVAEZ | BANCOPPEL 137622104350865812 | 308261 Transf. a CARLOS AZAEL ARAUZA ROSAS | CLAVE DE RASTREO 50115812TRANSBPI52324900</x:v>
      </x:c>
      <x:c r="J106" s="21"/>
      <x:c r="K106" s="21" t="n">
        <x:v>2944</x:v>
      </x:c>
      <x:c r="L106" s="21" t="n">
        <x:v>157941.31</x:v>
      </x:c>
      <x:c r="M106" s="22" t="n">
        <x:v>11</x:v>
      </x:c>
    </x:row>
    <x:row r="107" ht="30" customHeight="1">
      <x:c r="A107" s="16" t="n">
        <x:v>46237</x:v>
      </x:c>
      <x:c r="B107" s="17" t="str">
        <x:v>4088972811</x:v>
      </x:c>
      <x:c r="C107" s="18" t="str">
        <x:v>DEPOSITO SPEI</x:v>
      </x:c>
      <x:c r="D107" s="18" t="str">
        <x:v>SACNITE NICTEJA CASTRO REYNOSO</x:v>
      </x:c>
      <x:c r="E107" s="18" t="str">
        <x:v>BBVA MEXICO</x:v>
      </x:c>
      <x:c r="F107" s="17" t="str">
        <x:v>CTA 012040015247269870</x:v>
      </x:c>
      <x:c r="G107" s="19" t="str">
        <x:v>2206260 pago intereses</x:v>
      </x:c>
      <x:c r="H107" s="20" t="str">
        <x:v>RASTREO MBAN01002608030092741625</x:v>
      </x:c>
      <x:c r="I107" s="19" t="str">
        <x:v>DEPOSITO SPEI | SACNITE NICTEJA CASTRO REYNOSO | BBVA MEXICO 012040015247269870 | 2206260 pago intereses | CLAVE DE RASTREO MBAN01002608030092741625</x:v>
      </x:c>
      <x:c r="J107" s="21"/>
      <x:c r="K107" s="21" t="n">
        <x:v>1800</x:v>
      </x:c>
      <x:c r="L107" s="21" t="n">
        <x:v>159741.31</x:v>
      </x:c>
      <x:c r="M107" s="22" t="n">
        <x:v>11</x:v>
      </x:c>
    </x:row>
    <x:row r="108" ht="30" customHeight="1">
      <x:c r="A108" s="16" t="n">
        <x:v>46237</x:v>
      </x:c>
      <x:c r="B108" s="17" t="str">
        <x:v>4089022938</x:v>
      </x:c>
      <x:c r="C108" s="18" t="str">
        <x:v>DEPOSITO SPEI</x:v>
      </x:c>
      <x:c r="D108" s="18" t="str">
        <x:v>ROSA ELENA MURILLO</x:v>
      </x:c>
      <x:c r="E108" s="18" t="str">
        <x:v>BBVA MEXICO</x:v>
      </x:c>
      <x:c r="F108" s="17" t="str">
        <x:v>CTA 012040015769617434</x:v>
      </x:c>
      <x:c r="G108" s="19" t="str">
        <x:v>2206260 pago de 2 L t-20 jun-jul</x:v>
      </x:c>
      <x:c r="H108" s="20" t="str">
        <x:v>RASTREO MBAN01002608040093132905</x:v>
      </x:c>
      <x:c r="I108" s="19" t="str">
        <x:v>DEPOSITO SPEI | ROSA ELENA MURILLO | BBVA MEXICO 012040015769617434 | 2206260 pago de 2 L t-20 jun-jul | CLAVE DE RASTREO MBAN01002608040093132905</x:v>
      </x:c>
      <x:c r="J108" s="21"/>
      <x:c r="K108" s="21" t="n">
        <x:v>3000</x:v>
      </x:c>
      <x:c r="L108" s="21" t="n">
        <x:v>162741.31</x:v>
      </x:c>
      <x:c r="M108" s="22" t="n">
        <x:v>11</x:v>
      </x:c>
    </x:row>
    <x:row r="109" ht="30" customHeight="1">
      <x:c r="A109" s="16" t="n">
        <x:v>46237</x:v>
      </x:c>
      <x:c r="B109" s="17" t="str">
        <x:v>4089029348</x:v>
      </x:c>
      <x:c r="C109" s="18" t="str">
        <x:v>DEPOSITO SPEI</x:v>
      </x:c>
      <x:c r="D109" s="18" t="str">
        <x:v>ROSA ELENA MURILLO</x:v>
      </x:c>
      <x:c r="E109" s="18" t="str">
        <x:v>BBVA MEXICO</x:v>
      </x:c>
      <x:c r="F109" s="17" t="str">
        <x:v>CTA 012040015769617434</x:v>
      </x:c>
      <x:c r="G109" s="19" t="str">
        <x:v>2206260 pago L-19 jun-jul 26</x:v>
      </x:c>
      <x:c r="H109" s="20" t="str">
        <x:v>RASTREO MBAN01002608040093163456</x:v>
      </x:c>
      <x:c r="I109" s="19" t="str">
        <x:v>DEPOSITO SPEI | ROSA ELENA MURILLO | BBVA MEXICO 012040015769617434 | 2206260 pago L-19 jun-jul 26 | CLAVE DE RASTREO MBAN01002608040093163456</x:v>
      </x:c>
      <x:c r="J109" s="21"/>
      <x:c r="K109" s="21" t="n">
        <x:v>3000</x:v>
      </x:c>
      <x:c r="L109" s="21" t="n">
        <x:v>165741.31</x:v>
      </x:c>
      <x:c r="M109" s="22" t="n">
        <x:v>11</x:v>
      </x:c>
    </x:row>
    <x:row r="110" ht="30" customHeight="1">
      <x:c r="A110" s="16" t="n">
        <x:v>46237</x:v>
      </x:c>
      <x:c r="B110" s="17" t="str">
        <x:v>4089122703</x:v>
      </x:c>
      <x:c r="C110" s="18" t="str">
        <x:v>DEPOSITO SPEI</x:v>
      </x:c>
      <x:c r="D110" s="18" t="str">
        <x:v>RICARDO FABIAN CAÑEDO TRASVIÑA</x:v>
      </x:c>
      <x:c r="E110" s="18" t="str">
        <x:v>BBVA MEXICO</x:v>
      </x:c>
      <x:c r="F110" s="17" t="str">
        <x:v>CTA 012180015423566503</x:v>
      </x:c>
      <x:c r="G110" s="19" t="str">
        <x:v>2206260 RICARDO FABIAN CAÑEDO TRASVIÑA M14 L8 PV</x:v>
      </x:c>
      <x:c r="H110" s="20" t="str">
        <x:v>RASTREO MBAN01002608040093644340</x:v>
      </x:c>
      <x:c r="I110" s="19" t="str">
        <x:v>DEPOSITO SPEI | RICARDO FABIAN CAÑEDO TRASVIÑA | BBVA MEXICO 012180015423566503 | 2206260 RICARDO FABIAN CAÑEDO TRASVIÑA M14 L8 PV | CLAVE DE RASTREO MBAN01002608040093644340</x:v>
      </x:c>
      <x:c r="J110" s="21"/>
      <x:c r="K110" s="21" t="n">
        <x:v>16640</x:v>
      </x:c>
      <x:c r="L110" s="21" t="n">
        <x:v>182381.31</x:v>
      </x:c>
      <x:c r="M110" s="22" t="n">
        <x:v>11</x:v>
      </x:c>
    </x:row>
    <x:row r="111" ht="30" customHeight="1">
      <x:c r="A111" s="16" t="n">
        <x:v>46237</x:v>
      </x:c>
      <x:c r="B111" s="17" t="str">
        <x:v>4089182339</x:v>
      </x:c>
      <x:c r="C111" s="18" t="str">
        <x:v>DEPOSITO SPEI</x:v>
      </x:c>
      <x:c r="D111" s="18" t="str">
        <x:v>MAURO MAYO MARTINEZ</x:v>
      </x:c>
      <x:c r="E111" s="18" t="str">
        <x:v>SANTANDER</x:v>
      </x:c>
      <x:c r="F111" s="17" t="str">
        <x:v>CTA 014040569024593611</x:v>
      </x:c>
      <x:c r="G111" s="19" t="str">
        <x:v>191815 MANZANA 5 LOTE 24 MAURO MAYO MARTINEZ</x:v>
      </x:c>
      <x:c r="H111" s="20" t="str">
        <x:v>RASTREO 2026080340014BMOVP000470802680</x:v>
      </x:c>
      <x:c r="I111" s="19" t="str">
        <x:v>DEPOSITO SPEI | MAURO MAYO MARTINEZ | SANTANDER 014040569024593611 | 191815 MANZANA 5 LOTE 24 MAURO MAYO MARTINEZ | CLAVE DE RASTREO 2026080340014BMOVP000470802680</x:v>
      </x:c>
      <x:c r="J111" s="21"/>
      <x:c r="K111" s="21" t="n">
        <x:v>1500</x:v>
      </x:c>
      <x:c r="L111" s="21" t="n">
        <x:v>183881.31</x:v>
      </x:c>
      <x:c r="M111" s="22" t="n">
        <x:v>11</x:v>
      </x:c>
    </x:row>
    <x:row r="112" ht="30" customHeight="1">
      <x:c r="A112" s="16" t="n">
        <x:v>46237</x:v>
      </x:c>
      <x:c r="B112" s="17" t="str">
        <x:v>4089296595</x:v>
      </x:c>
      <x:c r="C112" s="18" t="str">
        <x:v>DEPOSITO SPEI</x:v>
      </x:c>
      <x:c r="D112" s="18" t="str">
        <x:v>MARTIN GIOVANI LEMUS TORRES</x:v>
      </x:c>
      <x:c r="E112" s="18" t="str">
        <x:v>BANCOPPEL</x:v>
      </x:c>
      <x:c r="F112" s="17" t="str">
        <x:v>CTA 137061104932455256</x:v>
      </x:c>
      <x:c r="G112" s="19" t="str">
        <x:v>308263 Martin lemus m9 L17 m21 L33</x:v>
      </x:c>
      <x:c r="H112" s="20" t="str">
        <x:v>RASTREO 50115256TRANSBPI58158740</x:v>
      </x:c>
      <x:c r="I112" s="19" t="str">
        <x:v>DEPOSITO SPEI | MARTIN GIOVANI LEMUS TORRES | BANCOPPEL 137061104932455256 | 308263 Martin lemus m9 L17 m21 L33 | CLAVE DE RASTREO 50115256TRANSBPI58158740</x:v>
      </x:c>
      <x:c r="J112" s="21"/>
      <x:c r="K112" s="21" t="n">
        <x:v>3000</x:v>
      </x:c>
      <x:c r="L112" s="21" t="n">
        <x:v>186881.31</x:v>
      </x:c>
      <x:c r="M112" s="22" t="n">
        <x:v>11</x:v>
      </x:c>
    </x:row>
    <x:row r="113" ht="30" customHeight="1">
      <x:c r="A113" s="16" t="n">
        <x:v>46237</x:v>
      </x:c>
      <x:c r="B113" s="17" t="str">
        <x:v>4089334333</x:v>
      </x:c>
      <x:c r="C113" s="18" t="str">
        <x:v>DEPOSITO SPEI</x:v>
      </x:c>
      <x:c r="D113" s="18" t="str">
        <x:v>JUAN PABLO BLAKE ALTAMIRA</x:v>
      </x:c>
      <x:c r="E113" s="18" t="str">
        <x:v>BBVA MEXICO</x:v>
      </x:c>
      <x:c r="F113" s="17" t="str">
        <x:v>CTA 012041015412450332</x:v>
      </x:c>
      <x:c r="G113" s="19" t="str">
        <x:v>3107260 renta kia azul</x:v>
      </x:c>
      <x:c r="H113" s="20" t="str">
        <x:v>RASTREO MBAN01002608040094991695</x:v>
      </x:c>
      <x:c r="I113" s="19" t="str">
        <x:v>DEPOSITO SPEI | JUAN PABLO BLAKE ALTAMIRA | BBVA MEXICO 012041015412450332 | 3107260 renta kia azul | CLAVE DE RASTREO MBAN01002608040094991695</x:v>
      </x:c>
      <x:c r="J113" s="21"/>
      <x:c r="K113" s="21" t="n">
        <x:v>2570</x:v>
      </x:c>
      <x:c r="L113" s="21" t="n">
        <x:v>189451.31</x:v>
      </x:c>
      <x:c r="M113" s="22" t="n">
        <x:v>12</x:v>
      </x:c>
    </x:row>
    <x:row r="114" ht="30" customHeight="1">
      <x:c r="A114" s="16" t="n">
        <x:v>46237</x:v>
      </x:c>
      <x:c r="B114" s="17" t="str">
        <x:v>4089344752</x:v>
      </x:c>
      <x:c r="C114" s="18" t="str">
        <x:v>DEPOSITO SPEI</x:v>
      </x:c>
      <x:c r="D114" s="18" t="str">
        <x:v>DAVID GARCIA CUATRA</x:v>
      </x:c>
      <x:c r="E114" s="18" t="str">
        <x:v>BBVA MEXICO</x:v>
      </x:c>
      <x:c r="F114" s="17" t="str">
        <x:v>CTA 012040027143374682</x:v>
      </x:c>
      <x:c r="G114" s="19" t="str">
        <x:v>2206260 m21L17davidgarciacuatra</x:v>
      </x:c>
      <x:c r="H114" s="20" t="str">
        <x:v>RASTREO MBAN01002608040095048129</x:v>
      </x:c>
      <x:c r="I114" s="19" t="str">
        <x:v>DEPOSITO SPEI | DAVID GARCIA CUATRA | BBVA MEXICO 012040027143374682 | 2206260 m21L17davidgarciacuatra | CLAVE DE RASTREO MBAN01002608040095048129</x:v>
      </x:c>
      <x:c r="J114" s="21"/>
      <x:c r="K114" s="21" t="n">
        <x:v>2388</x:v>
      </x:c>
      <x:c r="L114" s="21" t="n">
        <x:v>191839.31</x:v>
      </x:c>
      <x:c r="M114" s="22" t="n">
        <x:v>12</x:v>
      </x:c>
    </x:row>
    <x:row r="115" ht="30" customHeight="1">
      <x:c r="A115" s="16" t="n">
        <x:v>46237</x:v>
      </x:c>
      <x:c r="B115" s="17" t="str">
        <x:v>4089345716</x:v>
      </x:c>
      <x:c r="C115" s="18" t="str">
        <x:v>DEPOSITO SPEI</x:v>
      </x:c>
      <x:c r="D115" s="18" t="str">
        <x:v>DAVID GARCIA CUATRA</x:v>
      </x:c>
      <x:c r="E115" s="18" t="str">
        <x:v>BBVA MEXICO</x:v>
      </x:c>
      <x:c r="F115" s="17" t="str">
        <x:v>CTA 012040027143374682</x:v>
      </x:c>
      <x:c r="G115" s="19" t="str">
        <x:v>2206260 m21L18davidgarciacuatra</x:v>
      </x:c>
      <x:c r="H115" s="20" t="str">
        <x:v>RASTREO MBAN01002608040095053558</x:v>
      </x:c>
      <x:c r="I115" s="19" t="str">
        <x:v>DEPOSITO SPEI | DAVID GARCIA CUATRA | BBVA MEXICO 012040027143374682 | 2206260 m21L18davidgarciacuatra | CLAVE DE RASTREO MBAN01002608040095053558</x:v>
      </x:c>
      <x:c r="J115" s="21"/>
      <x:c r="K115" s="21" t="n">
        <x:v>2388</x:v>
      </x:c>
      <x:c r="L115" s="21" t="n">
        <x:v>194227.31</x:v>
      </x:c>
      <x:c r="M115" s="22" t="n">
        <x:v>12</x:v>
      </x:c>
    </x:row>
    <x:row r="116" ht="30" customHeight="1">
      <x:c r="A116" s="16" t="n">
        <x:v>46237</x:v>
      </x:c>
      <x:c r="B116" s="17" t="str">
        <x:v>4089346612</x:v>
      </x:c>
      <x:c r="C116" s="18" t="str">
        <x:v>DEPOSITO SPEI</x:v>
      </x:c>
      <x:c r="D116" s="18" t="str">
        <x:v>DAVID GARCIA CUATRA</x:v>
      </x:c>
      <x:c r="E116" s="18" t="str">
        <x:v>BBVA MEXICO</x:v>
      </x:c>
      <x:c r="F116" s="17" t="str">
        <x:v>CTA 012040027143374682</x:v>
      </x:c>
      <x:c r="G116" s="19" t="str">
        <x:v>2206260 m21L19davidgarciacuatra</x:v>
      </x:c>
      <x:c r="H116" s="20" t="str">
        <x:v>RASTREO MBAN01002608040095059012</x:v>
      </x:c>
      <x:c r="I116" s="19" t="str">
        <x:v>DEPOSITO SPEI | DAVID GARCIA CUATRA | BBVA MEXICO 012040027143374682 | 2206260 m21L19davidgarciacuatra | CLAVE DE RASTREO MBAN01002608040095059012</x:v>
      </x:c>
      <x:c r="J116" s="21"/>
      <x:c r="K116" s="21" t="n">
        <x:v>2388</x:v>
      </x:c>
      <x:c r="L116" s="21" t="n">
        <x:v>196615.31</x:v>
      </x:c>
      <x:c r="M116" s="22" t="n">
        <x:v>12</x:v>
      </x:c>
    </x:row>
    <x:row r="117" ht="30" customHeight="1">
      <x:c r="A117" s="16" t="n">
        <x:v>46238</x:v>
      </x:c>
      <x:c r="B117" s="17" t="str">
        <x:v>4089365753</x:v>
      </x:c>
      <x:c r="C117" s="18" t="str">
        <x:v>DEPOSITO SPEI</x:v>
      </x:c>
      <x:c r="D117" s="18" t="str">
        <x:v>ROCIO ADILENE CASTRO ROMERO</x:v>
      </x:c>
      <x:c r="E117" s="18" t="str">
        <x:v>SANTANDER</x:v>
      </x:c>
      <x:c r="F117" s="17" t="str">
        <x:v>CTA 014045566608704604</x:v>
      </x:c>
      <x:c r="G117" s="19" t="str">
        <x:v>8325560 TRANSFERENCIA A MANZANA 31 LOTE 2</x:v>
      </x:c>
      <x:c r="H117" s="20" t="str">
        <x:v>RASTREO 2026080440014BMOVP000400730750</x:v>
      </x:c>
      <x:c r="I117" s="19" t="str">
        <x:v>DEPOSITO SPEI | ROCIO ADILENE CASTRO ROMERO | SANTANDER 014045566608704604 | 8325560 TRANSFERENCIA A MANZANA 31 LOTE 2 | CLAVE DE RASTREO 2026080440014BMOVP000400730750</x:v>
      </x:c>
      <x:c r="J117" s="21"/>
      <x:c r="K117" s="21" t="n">
        <x:v>2389</x:v>
      </x:c>
      <x:c r="L117" s="21" t="n">
        <x:v>199004.31</x:v>
      </x:c>
      <x:c r="M117" s="22" t="n">
        <x:v>12</x:v>
      </x:c>
    </x:row>
    <x:row r="118" ht="30" customHeight="1">
      <x:c r="A118" s="16" t="n">
        <x:v>46238</x:v>
      </x:c>
      <x:c r="B118" s="17" t="str">
        <x:v>4089469240</x:v>
      </x:c>
      <x:c r="C118" s="18" t="str">
        <x:v>ABTS LA ESCONDIDA MX</x:v>
      </x:c>
      <x:c r="D118" s="18" t="str"/>
      <x:c r="E118" s="18" t="str"/>
      <x:c r="F118" s="17" t="str"/>
      <x:c r="G118" s="19" t="str"/>
      <x:c r="H118" s="20" t="str"/>
      <x:c r="I118" s="19" t="str">
        <x:v>ABTS LA ESCONDIDA MX</x:v>
      </x:c>
      <x:c r="J118" s="21" t="n">
        <x:v>688</x:v>
      </x:c>
      <x:c r="K118" s="21"/>
      <x:c r="L118" s="21" t="n">
        <x:v>198316.31</x:v>
      </x:c>
      <x:c r="M118" s="22" t="n">
        <x:v>12</x:v>
      </x:c>
    </x:row>
    <x:row r="119" ht="30" customHeight="1">
      <x:c r="A119" s="16" t="n">
        <x:v>46238</x:v>
      </x:c>
      <x:c r="B119" s="17" t="str">
        <x:v>4089738740</x:v>
      </x:c>
      <x:c r="C119" s="18" t="str">
        <x:v>DEPOSITO SPEI</x:v>
      </x:c>
      <x:c r="D119" s="18" t="str">
        <x:v>DELFINO ISLAS ALARCON</x:v>
      </x:c>
      <x:c r="E119" s="18" t="str">
        <x:v>BANORTE</x:v>
      </x:c>
      <x:c r="F119" s="17" t="str">
        <x:v>CTA 072040012911213483</x:v>
      </x:c>
      <x:c r="G119" s="19" t="str">
        <x:v>260804 Sin informaci n</x:v>
      </x:c>
      <x:c r="H119" s="20" t="str">
        <x:v>RASTREO 38432P05202608045614221889</x:v>
      </x:c>
      <x:c r="I119" s="19" t="str">
        <x:v>DEPOSITO SPEI | DELFINO ISLAS ALARCON | BANORTE 072040012911213483 | 260804 Sin informaci n | CLAVE DE RASTREO 38432P05202608045614221889</x:v>
      </x:c>
      <x:c r="J119" s="21"/>
      <x:c r="K119" s="21" t="n">
        <x:v>5600</x:v>
      </x:c>
      <x:c r="L119" s="21" t="n">
        <x:v>203916.31</x:v>
      </x:c>
      <x:c r="M119" s="22" t="n">
        <x:v>12</x:v>
      </x:c>
    </x:row>
    <x:row r="120" ht="30" customHeight="1">
      <x:c r="A120" s="16" t="n">
        <x:v>46238</x:v>
      </x:c>
      <x:c r="B120" s="17" t="str">
        <x:v>4089795601</x:v>
      </x:c>
      <x:c r="C120" s="18" t="str">
        <x:v>DEPOSITO SPEI</x:v>
      </x:c>
      <x:c r="D120" s="18" t="str">
        <x:v>JOSE ARTURO CALDERON MORALES</x:v>
      </x:c>
      <x:c r="E120" s="18" t="str">
        <x:v>BBVA MEXICO</x:v>
      </x:c>
      <x:c r="F120" s="17" t="str">
        <x:v>CTA 012650015511636956</x:v>
      </x:c>
      <x:c r="G120" s="19" t="str">
        <x:v>1707260 Jose Arturo Calderon Morales M6L6</x:v>
      </x:c>
      <x:c r="H120" s="20" t="str">
        <x:v>RASTREO MBAN01002608040095763347</x:v>
      </x:c>
      <x:c r="I120" s="19" t="str">
        <x:v>DEPOSITO SPEI | JOSE ARTURO CALDERON MORALES | BBVA MEXICO 012650015511636956 | 1707260 Jose Arturo Calderon Morales M6L6 | CLAVE DE RASTREO MBAN01002608040095763347</x:v>
      </x:c>
      <x:c r="J120" s="21"/>
      <x:c r="K120" s="21" t="n">
        <x:v>2944</x:v>
      </x:c>
      <x:c r="L120" s="21" t="n">
        <x:v>206860.31</x:v>
      </x:c>
      <x:c r="M120" s="22" t="n">
        <x:v>12</x:v>
      </x:c>
    </x:row>
    <x:row r="121" ht="30" customHeight="1">
      <x:c r="A121" s="16" t="n">
        <x:v>46238</x:v>
      </x:c>
      <x:c r="B121" s="17" t="str">
        <x:v>4089797540</x:v>
      </x:c>
      <x:c r="C121" s="18" t="str">
        <x:v>DEPOSITO SPEI</x:v>
      </x:c>
      <x:c r="D121" s="18" t="str">
        <x:v>JOSE ARTURO CALDERON MORALES</x:v>
      </x:c>
      <x:c r="E121" s="18" t="str">
        <x:v>BBVA MEXICO</x:v>
      </x:c>
      <x:c r="F121" s="17" t="str">
        <x:v>CTA 012650015511636956</x:v>
      </x:c>
      <x:c r="G121" s="19" t="str">
        <x:v>1707260 Jose Arturo Calderon Morales M6L7</x:v>
      </x:c>
      <x:c r="H121" s="20" t="str">
        <x:v>RASTREO MBAN01002608040095768459</x:v>
      </x:c>
      <x:c r="I121" s="19" t="str">
        <x:v>DEPOSITO SPEI | JOSE ARTURO CALDERON MORALES | BBVA MEXICO 012650015511636956 | 1707260 Jose Arturo Calderon Morales M6L7 | CLAVE DE RASTREO MBAN01002608040095768459</x:v>
      </x:c>
      <x:c r="J121" s="21"/>
      <x:c r="K121" s="21" t="n">
        <x:v>2944</x:v>
      </x:c>
      <x:c r="L121" s="21" t="n">
        <x:v>209804.31</x:v>
      </x:c>
      <x:c r="M121" s="22" t="n">
        <x:v>12</x:v>
      </x:c>
    </x:row>
    <x:row r="122" ht="30" customHeight="1">
      <x:c r="A122" s="16" t="n">
        <x:v>46238</x:v>
      </x:c>
      <x:c r="B122" s="17" t="str">
        <x:v>4089803083</x:v>
      </x:c>
      <x:c r="C122" s="18" t="str">
        <x:v>DEPOSITO SPEI</x:v>
      </x:c>
      <x:c r="D122" s="18" t="str">
        <x:v>SANDRA MERINO CASTRO</x:v>
      </x:c>
      <x:c r="E122" s="18" t="str">
        <x:v>BANORTE</x:v>
      </x:c>
      <x:c r="F122" s="17" t="str">
        <x:v>CTA 072045004400673958</x:v>
      </x:c>
      <x:c r="G122" s="19" t="str">
        <x:v>260804 Sandra Merino CastroM 19 L4 Palo Verde</x:v>
      </x:c>
      <x:c r="H122" s="20" t="str">
        <x:v>RASTREO 3843CP04202608045614385151</x:v>
      </x:c>
      <x:c r="I122" s="19" t="str">
        <x:v>DEPOSITO SPEI | SANDRA MERINO CASTRO | BANORTE 072045004400673958 | 260804 Sandra Merino CastroM 19 L4 Palo Verde | CLAVE DE RASTREO 3843CP04202608045614385151</x:v>
      </x:c>
      <x:c r="J122" s="21"/>
      <x:c r="K122" s="21" t="n">
        <x:v>1500</x:v>
      </x:c>
      <x:c r="L122" s="21" t="n">
        <x:v>211304.31</x:v>
      </x:c>
      <x:c r="M122" s="22" t="n">
        <x:v>12</x:v>
      </x:c>
    </x:row>
    <x:row r="123" ht="30" customHeight="1">
      <x:c r="A123" s="16" t="n">
        <x:v>46238</x:v>
      </x:c>
      <x:c r="B123" s="17" t="str">
        <x:v>4089850758</x:v>
      </x:c>
      <x:c r="C123" s="18" t="str">
        <x:v>DEPOSITO SPEI</x:v>
      </x:c>
      <x:c r="D123" s="18" t="str">
        <x:v>OMAR ALEJANDRO ESPINOZA CARLON</x:v>
      </x:c>
      <x:c r="E123" s="18" t="str">
        <x:v>NUBANK</x:v>
      </x:c>
      <x:c r="F123" s="17" t="str">
        <x:v>CTA 638180000112505523</x:v>
      </x:c>
      <x:c r="G123" s="19" t="str">
        <x:v>40826 PV2501 15</x:v>
      </x:c>
      <x:c r="H123" s="20" t="str">
        <x:v>RASTREO NU3AE85V3SUE9FOOE6H31OQ7UU4A</x:v>
      </x:c>
      <x:c r="I123" s="19" t="str">
        <x:v>DEPOSITO SPEI | OMAR ALEJANDRO ESPINOZA CARLON | NUBANK 638180000112505523 | 40826 PV2501 15 | CLAVE DE RASTREO NU3AE85V3SUE9FOOE6H31OQ7UU4A</x:v>
      </x:c>
      <x:c r="J123" s="21"/>
      <x:c r="K123" s="21" t="n">
        <x:v>1500</x:v>
      </x:c>
      <x:c r="L123" s="21" t="n">
        <x:v>212804.31</x:v>
      </x:c>
      <x:c r="M123" s="22" t="n">
        <x:v>13</x:v>
      </x:c>
    </x:row>
    <x:row r="124" ht="30" customHeight="1">
      <x:c r="A124" s="16" t="n">
        <x:v>46238</x:v>
      </x:c>
      <x:c r="B124" s="17" t="str">
        <x:v>4089929337</x:v>
      </x:c>
      <x:c r="C124" s="18" t="str">
        <x:v>DEPOSITO SPEI</x:v>
      </x:c>
      <x:c r="D124" s="18" t="str">
        <x:v>ROBERTO CARLOS SOSA SALINAS</x:v>
      </x:c>
      <x:c r="E124" s="18" t="str">
        <x:v>BANCOPPEL</x:v>
      </x:c>
      <x:c r="F124" s="17" t="str">
        <x:v>CTA 137040103990260463</x:v>
      </x:c>
      <x:c r="G124" s="19" t="str">
        <x:v>408260 maria eugenia hernandez manz26 lot 29</x:v>
      </x:c>
      <x:c r="H124" s="20" t="str">
        <x:v>RASTREO 50110463TRANSBPI62209143</x:v>
      </x:c>
      <x:c r="I124" s="19" t="str">
        <x:v>DEPOSITO SPEI | ROBERTO CARLOS SOSA SALINAS | BANCOPPEL 137040103990260463 | 408260 maria eugenia hernandez manz26 lot 29 | CLAVE DE RASTREO 50110463TRANSBPI62209143</x:v>
      </x:c>
      <x:c r="J124" s="21"/>
      <x:c r="K124" s="21" t="n">
        <x:v>1500</x:v>
      </x:c>
      <x:c r="L124" s="21" t="n">
        <x:v>214304.31</x:v>
      </x:c>
      <x:c r="M124" s="22" t="n">
        <x:v>13</x:v>
      </x:c>
    </x:row>
    <x:row r="125" ht="30" customHeight="1">
      <x:c r="A125" s="16" t="n">
        <x:v>46238</x:v>
      </x:c>
      <x:c r="B125" s="17" t="str">
        <x:v>4089938580</x:v>
      </x:c>
      <x:c r="C125" s="18" t="str">
        <x:v>DEPOSITO SPEI</x:v>
      </x:c>
      <x:c r="D125" s="18" t="str">
        <x:v>ADELAIDA,RIVERA/NIEBLAS</x:v>
      </x:c>
      <x:c r="E125" s="18" t="str">
        <x:v>BANAMEX</x:v>
      </x:c>
      <x:c r="F125" s="17" t="str">
        <x:v>CTA 002730904160809081</x:v>
      </x:c>
      <x:c r="G125" s="19" t="str">
        <x:v>40826 M3L3 palo verde Adelaida</x:v>
      </x:c>
      <x:c r="H125" s="20" t="str">
        <x:v>RASTREO 085902199944321661</x:v>
      </x:c>
      <x:c r="I125" s="19" t="str">
        <x:v>DEPOSITO SPEI | ADELAIDA,RIVERA/NIEBLAS | BANAMEX 002730904160809081 | 40826 M3L3 palo verde Adelaida | CLAVE DE RASTREO 085902199944321661</x:v>
      </x:c>
      <x:c r="J125" s="21"/>
      <x:c r="K125" s="21" t="n">
        <x:v>1500</x:v>
      </x:c>
      <x:c r="L125" s="21" t="n">
        <x:v>215804.31</x:v>
      </x:c>
      <x:c r="M125" s="22" t="n">
        <x:v>13</x:v>
      </x:c>
    </x:row>
    <x:row r="126" ht="30" customHeight="1">
      <x:c r="A126" s="16" t="n">
        <x:v>46238</x:v>
      </x:c>
      <x:c r="B126" s="17" t="str">
        <x:v>4089959673</x:v>
      </x:c>
      <x:c r="C126" s="18" t="str">
        <x:v>DEPOSITO SPEI</x:v>
      </x:c>
      <x:c r="D126" s="18" t="str">
        <x:v>MOISES RAMIREZ GUILLEN</x:v>
      </x:c>
      <x:c r="E126" s="18" t="str">
        <x:v>BBVA MEXICO</x:v>
      </x:c>
      <x:c r="F126" s="17" t="str">
        <x:v>CTA 012040015776793464</x:v>
      </x:c>
      <x:c r="G126" s="19" t="str">
        <x:v>2206260 palo verde mza 17 lotes 32 y 33</x:v>
      </x:c>
      <x:c r="H126" s="20" t="str">
        <x:v>RASTREO MBAN01002608040096447188</x:v>
      </x:c>
      <x:c r="I126" s="19" t="str">
        <x:v>DEPOSITO SPEI | MOISES RAMIREZ GUILLEN | BBVA MEXICO 012040015776793464 | 2206260 palo verde mza 17 lotes 32 y 33 | CLAVE DE RASTREO MBAN01002608040096447188</x:v>
      </x:c>
      <x:c r="J126" s="21"/>
      <x:c r="K126" s="21" t="n">
        <x:v>3000</x:v>
      </x:c>
      <x:c r="L126" s="21" t="n">
        <x:v>218804.31</x:v>
      </x:c>
      <x:c r="M126" s="22" t="n">
        <x:v>13</x:v>
      </x:c>
    </x:row>
    <x:row r="127" ht="30" customHeight="1">
      <x:c r="A127" s="16" t="n">
        <x:v>46238</x:v>
      </x:c>
      <x:c r="B127" s="17" t="str">
        <x:v>4089961167</x:v>
      </x:c>
      <x:c r="C127" s="18" t="str">
        <x:v>DEPOSITO SPEI</x:v>
      </x:c>
      <x:c r="D127" s="18" t="str">
        <x:v>MOISES RAMIREZ GUILLEN</x:v>
      </x:c>
      <x:c r="E127" s="18" t="str">
        <x:v>BBVA MEXICO</x:v>
      </x:c>
      <x:c r="F127" s="17" t="str">
        <x:v>CTA 012040015776793464</x:v>
      </x:c>
      <x:c r="G127" s="19" t="str">
        <x:v>2206260 likidacion interes pendiente</x:v>
      </x:c>
      <x:c r="H127" s="20" t="str">
        <x:v>RASTREO MBAN01002608040096454347</x:v>
      </x:c>
      <x:c r="I127" s="19" t="str">
        <x:v>DEPOSITO SPEI | MOISES RAMIREZ GUILLEN | BBVA MEXICO 012040015776793464 | 2206260 likidacion interes pendiente | CLAVE DE RASTREO MBAN01002608040096454347</x:v>
      </x:c>
      <x:c r="J127" s="21"/>
      <x:c r="K127" s="21" t="n">
        <x:v>2000</x:v>
      </x:c>
      <x:c r="L127" s="21" t="n">
        <x:v>220804.31</x:v>
      </x:c>
      <x:c r="M127" s="22" t="n">
        <x:v>13</x:v>
      </x:c>
    </x:row>
    <x:row r="128" ht="30" customHeight="1">
      <x:c r="A128" s="16" t="n">
        <x:v>46238</x:v>
      </x:c>
      <x:c r="B128" s="17" t="str">
        <x:v>4090014823</x:v>
      </x:c>
      <x:c r="C128" s="18" t="str">
        <x:v>DEPOSITO SPEI</x:v>
      </x:c>
      <x:c r="D128" s="18" t="str">
        <x:v>NAILEA GUADALUPE JIMENEZ PLOMOZO</x:v>
      </x:c>
      <x:c r="E128" s="18" t="str">
        <x:v>Mercado Pago W</x:v>
      </x:c>
      <x:c r="F128" s="17" t="str">
        <x:v>CTA 722969010679259578</x:v>
      </x:c>
      <x:c r="G128" s="19" t="str">
        <x:v>4626873 MERCADO*PAGO</x:v>
      </x:c>
      <x:c r="H128" s="20" t="str">
        <x:v>RASTREO CPO171144626873</x:v>
      </x:c>
      <x:c r="I128" s="19" t="str">
        <x:v>DEPOSITO SPEI | NAILEA GUADALUPE JIMENEZ PLOMOZO | Mercado Pago W 722969010679259578 | 4626873 MERCADO*PAGO | CLAVE DE RASTREO CPO171144626873</x:v>
      </x:c>
      <x:c r="J128" s="21"/>
      <x:c r="K128" s="21" t="n">
        <x:v>2805</x:v>
      </x:c>
      <x:c r="L128" s="21" t="n">
        <x:v>223609.31</x:v>
      </x:c>
      <x:c r="M128" s="22" t="n">
        <x:v>13</x:v>
      </x:c>
    </x:row>
    <x:row r="129" ht="30" customHeight="1">
      <x:c r="A129" s="16" t="n">
        <x:v>46238</x:v>
      </x:c>
      <x:c r="B129" s="17" t="str">
        <x:v>4090131177</x:v>
      </x:c>
      <x:c r="C129" s="18" t="str">
        <x:v>DEPOSITO SPEI</x:v>
      </x:c>
      <x:c r="D129" s="18" t="str">
        <x:v>LUIS ALFONSO VEA SOTO</x:v>
      </x:c>
      <x:c r="E129" s="18" t="str">
        <x:v>BBVA MEXICO</x:v>
      </x:c>
      <x:c r="F129" s="17" t="str">
        <x:v>CTA 012040026153097358</x:v>
      </x:c>
      <x:c r="G129" s="19" t="str">
        <x:v>3107260 manzana 5 lote 26 luis vea</x:v>
      </x:c>
      <x:c r="H129" s="20" t="str">
        <x:v>RASTREO MBAN01002608040096948858</x:v>
      </x:c>
      <x:c r="I129" s="19" t="str">
        <x:v>DEPOSITO SPEI | LUIS ALFONSO VEA SOTO | BBVA MEXICO 012040026153097358 | 3107260 manzana 5 lote 26 luis vea | CLAVE DE RASTREO MBAN01002608040096948858</x:v>
      </x:c>
      <x:c r="J129" s="21"/>
      <x:c r="K129" s="21" t="n">
        <x:v>2388</x:v>
      </x:c>
      <x:c r="L129" s="21" t="n">
        <x:v>225997.31</x:v>
      </x:c>
      <x:c r="M129" s="22" t="n">
        <x:v>13</x:v>
      </x:c>
    </x:row>
    <x:row r="130" ht="30" customHeight="1">
      <x:c r="A130" s="16" t="n">
        <x:v>46238</x:v>
      </x:c>
      <x:c r="B130" s="17" t="str">
        <x:v>4090274870</x:v>
      </x:c>
      <x:c r="C130" s="18" t="str">
        <x:v>DEPOSITO SPEI</x:v>
      </x:c>
      <x:c r="D130" s="18" t="str">
        <x:v>JORGE HUMBERTO PANTOJA VEGA</x:v>
      </x:c>
      <x:c r="E130" s="18" t="str">
        <x:v>BBVA MEXICO</x:v>
      </x:c>
      <x:c r="F130" s="17" t="str">
        <x:v>CTA 012320015114565408</x:v>
      </x:c>
      <x:c r="G130" s="19" t="str">
        <x:v>2206260 Mnza24Lote23</x:v>
      </x:c>
      <x:c r="H130" s="20" t="str">
        <x:v>RASTREO MBAN01002608040097302926</x:v>
      </x:c>
      <x:c r="I130" s="19" t="str">
        <x:v>DEPOSITO SPEI | JORGE HUMBERTO PANTOJA VEGA | BBVA MEXICO 012320015114565408 | 2206260 Mnza24Lote23 | CLAVE DE RASTREO MBAN01002608040097302926</x:v>
      </x:c>
      <x:c r="J130" s="21"/>
      <x:c r="K130" s="21" t="n">
        <x:v>1500</x:v>
      </x:c>
      <x:c r="L130" s="21" t="n">
        <x:v>227497.31</x:v>
      </x:c>
      <x:c r="M130" s="22" t="n">
        <x:v>13</x:v>
      </x:c>
    </x:row>
    <x:row r="131" ht="30" customHeight="1">
      <x:c r="A131" s="16" t="n">
        <x:v>46238</x:v>
      </x:c>
      <x:c r="B131" s="17" t="str">
        <x:v>4090386942</x:v>
      </x:c>
      <x:c r="C131" s="18" t="str">
        <x:v>DEPOSITO SPEI</x:v>
      </x:c>
      <x:c r="D131" s="18" t="str">
        <x:v>TERESA TORRES GONZALEZ</x:v>
      </x:c>
      <x:c r="E131" s="18" t="str">
        <x:v>BBVA MEXICO</x:v>
      </x:c>
      <x:c r="F131" s="17" t="str">
        <x:v>CTA 012040028838527099</x:v>
      </x:c>
      <x:c r="G131" s="19" t="str">
        <x:v>3107260 PVM13L10</x:v>
      </x:c>
      <x:c r="H131" s="20" t="str">
        <x:v>RASTREO MBAN01002608040097772655</x:v>
      </x:c>
      <x:c r="I131" s="19" t="str">
        <x:v>DEPOSITO SPEI | TERESA TORRES GONZALEZ | BBVA MEXICO 012040028838527099 | 3107260 PVM13L10 | CLAVE DE RASTREO MBAN01002608040097772655</x:v>
      </x:c>
      <x:c r="J131" s="21"/>
      <x:c r="K131" s="21" t="n">
        <x:v>9556</x:v>
      </x:c>
      <x:c r="L131" s="21" t="n">
        <x:v>237053.31</x:v>
      </x:c>
      <x:c r="M131" s="22" t="n">
        <x:v>13</x:v>
      </x:c>
    </x:row>
    <x:row r="132" ht="30" customHeight="1">
      <x:c r="A132" s="16" t="n">
        <x:v>46238</x:v>
      </x:c>
      <x:c r="B132" s="17" t="str">
        <x:v>4090392703</x:v>
      </x:c>
      <x:c r="C132" s="18" t="str">
        <x:v>DEPOSITO SPEI</x:v>
      </x:c>
      <x:c r="D132" s="18" t="str">
        <x:v>TERESA TORRES GONZALEZ</x:v>
      </x:c>
      <x:c r="E132" s="18" t="str">
        <x:v>BBVA MEXICO</x:v>
      </x:c>
      <x:c r="F132" s="17" t="str">
        <x:v>CTA 012040028838527099</x:v>
      </x:c>
      <x:c r="G132" s="19" t="str">
        <x:v>3107260 Pvm13L12</x:v>
      </x:c>
      <x:c r="H132" s="20" t="str">
        <x:v>RASTREO MBAN01002608040097792420</x:v>
      </x:c>
      <x:c r="I132" s="19" t="str">
        <x:v>DEPOSITO SPEI | TERESA TORRES GONZALEZ | BBVA MEXICO 012040028838527099 | 3107260 Pvm13L12 | CLAVE DE RASTREO MBAN01002608040097792420</x:v>
      </x:c>
      <x:c r="J132" s="21"/>
      <x:c r="K132" s="21" t="n">
        <x:v>7167</x:v>
      </x:c>
      <x:c r="L132" s="21" t="n">
        <x:v>244220.31</x:v>
      </x:c>
      <x:c r="M132" s="22" t="n">
        <x:v>13</x:v>
      </x:c>
    </x:row>
    <x:row r="133" ht="30" customHeight="1">
      <x:c r="A133" s="16" t="n">
        <x:v>46238</x:v>
      </x:c>
      <x:c r="B133" s="17" t="str">
        <x:v>8202628992</x:v>
      </x:c>
      <x:c r="C133" s="18" t="str">
        <x:v>TRANSFERENCIA SPEI</x:v>
      </x:c>
      <x:c r="D133" s="18" t="str">
        <x:v>Mal Padre</x:v>
      </x:c>
      <x:c r="E133" s="18" t="str">
        <x:v>SPIN BY OXXO</x:v>
      </x:c>
      <x:c r="F133" s="17" t="str">
        <x:v>CTA 4217470237670449</x:v>
      </x:c>
      <x:c r="G133" s="19" t="str">
        <x:v>20260804 Pago | 036NAPP04082026289927703 RFC NO DISPONIBLE</x:v>
      </x:c>
      <x:c r="H133" s="20" t="str"/>
      <x:c r="I133" s="19" t="str">
        <x:v>TRANSFERENCIA SPEI | Mal Padre | SPIN BY OXXO 4217470237670449 | 20260804 Pago | 036NAPP04082026289927703 RFC NO DISPONIBLE</x:v>
      </x:c>
      <x:c r="J133" s="21" t="n">
        <x:v>800</x:v>
      </x:c>
      <x:c r="K133" s="21"/>
      <x:c r="L133" s="21" t="n">
        <x:v>243420.31</x:v>
      </x:c>
      <x:c r="M133" s="22" t="n">
        <x:v>14</x:v>
      </x:c>
    </x:row>
    <x:row r="134" ht="30" customHeight="1">
      <x:c r="A134" s="16" t="n">
        <x:v>46238</x:v>
      </x:c>
      <x:c r="B134" s="17" t="str">
        <x:v>4090411486</x:v>
      </x:c>
      <x:c r="C134" s="18" t="str">
        <x:v>DEPOSITO SPEI</x:v>
      </x:c>
      <x:c r="D134" s="18" t="str">
        <x:v>MA EUGENIA TELLEZ SILVA</x:v>
      </x:c>
      <x:c r="E134" s="18" t="str">
        <x:v>BBVA MEXICO</x:v>
      </x:c>
      <x:c r="F134" s="17" t="str">
        <x:v>CTA 012040011780462989</x:v>
      </x:c>
      <x:c r="G134" s="19" t="str">
        <x:v>3107260 manza4 lote2</x:v>
      </x:c>
      <x:c r="H134" s="20" t="str">
        <x:v>RASTREO MBAN01002608040097878148</x:v>
      </x:c>
      <x:c r="I134" s="19" t="str">
        <x:v>DEPOSITO SPEI | MA EUGENIA TELLEZ SILVA | BBVA MEXICO 012040011780462989 | 3107260 manza4 lote2 | CLAVE DE RASTREO MBAN01002608040097878148</x:v>
      </x:c>
      <x:c r="J134" s="21"/>
      <x:c r="K134" s="21" t="n">
        <x:v>1500</x:v>
      </x:c>
      <x:c r="L134" s="21" t="n">
        <x:v>244920.31</x:v>
      </x:c>
      <x:c r="M134" s="22" t="n">
        <x:v>14</x:v>
      </x:c>
    </x:row>
    <x:row r="135" ht="30" customHeight="1">
      <x:c r="A135" s="16" t="n">
        <x:v>46238</x:v>
      </x:c>
      <x:c r="B135" s="17" t="str">
        <x:v>4090419723</x:v>
      </x:c>
      <x:c r="C135" s="18" t="str">
        <x:v>DEPOSITO SPEI</x:v>
      </x:c>
      <x:c r="D135" s="18" t="str">
        <x:v>MA EUGENIA TELLEZ SILVA</x:v>
      </x:c>
      <x:c r="E135" s="18" t="str">
        <x:v>BBVA MEXICO</x:v>
      </x:c>
      <x:c r="F135" s="17" t="str">
        <x:v>CTA 012040011780462989</x:v>
      </x:c>
      <x:c r="G135" s="19" t="str">
        <x:v>3107260 manza4lote3</x:v>
      </x:c>
      <x:c r="H135" s="20" t="str">
        <x:v>RASTREO MBAN01002608040097895115</x:v>
      </x:c>
      <x:c r="I135" s="19" t="str">
        <x:v>DEPOSITO SPEI | MA EUGENIA TELLEZ SILVA | BBVA MEXICO 012040011780462989 | 3107260 manza4lote3 | CLAVE DE RASTREO MBAN01002608040097895115</x:v>
      </x:c>
      <x:c r="J135" s="21"/>
      <x:c r="K135" s="21" t="n">
        <x:v>1500</x:v>
      </x:c>
      <x:c r="L135" s="21" t="n">
        <x:v>246420.31</x:v>
      </x:c>
      <x:c r="M135" s="22" t="n">
        <x:v>14</x:v>
      </x:c>
    </x:row>
    <x:row r="136" ht="30" customHeight="1">
      <x:c r="A136" s="16" t="n">
        <x:v>46238</x:v>
      </x:c>
      <x:c r="B136" s="17" t="str">
        <x:v>4090516665</x:v>
      </x:c>
      <x:c r="C136" s="18" t="str">
        <x:v>DEPOSITO SPEI</x:v>
      </x:c>
      <x:c r="D136" s="18" t="str">
        <x:v>DULCE ALEJANDRA COTA OJEDA</x:v>
      </x:c>
      <x:c r="E136" s="18" t="str">
        <x:v>BANCOPPEL</x:v>
      </x:c>
      <x:c r="F136" s="17" t="str">
        <x:v>CTA 137061104415459546</x:v>
      </x:c>
      <x:c r="G136" s="19" t="str">
        <x:v>408260 Transf.manzana 10 lote 11</x:v>
      </x:c>
      <x:c r="H136" s="20" t="str">
        <x:v>RASTREO 50119546TRANSBPI67653718</x:v>
      </x:c>
      <x:c r="I136" s="19" t="str">
        <x:v>DEPOSITO SPEI | DULCE ALEJANDRA COTA OJEDA | BANCOPPEL 137061104415459546 | 408260 Transf.manzana 10 lote 11 | CLAVE DE RASTREO 50119546TRANSBPI67653718</x:v>
      </x:c>
      <x:c r="J136" s="21"/>
      <x:c r="K136" s="21" t="n">
        <x:v>1500</x:v>
      </x:c>
      <x:c r="L136" s="21" t="n">
        <x:v>247920.31</x:v>
      </x:c>
      <x:c r="M136" s="22" t="n">
        <x:v>14</x:v>
      </x:c>
    </x:row>
    <x:row r="137" ht="30" customHeight="1">
      <x:c r="A137" s="16" t="n">
        <x:v>46238</x:v>
      </x:c>
      <x:c r="B137" s="17" t="str">
        <x:v>4090517567</x:v>
      </x:c>
      <x:c r="C137" s="18" t="str">
        <x:v>DEPOSITO SPEI</x:v>
      </x:c>
      <x:c r="D137" s="18" t="str">
        <x:v>DULCE ALEJANDRA COTA OJEDA</x:v>
      </x:c>
      <x:c r="E137" s="18" t="str">
        <x:v>BANCOPPEL</x:v>
      </x:c>
      <x:c r="F137" s="17" t="str">
        <x:v>CTA 137061104415459546</x:v>
      </x:c>
      <x:c r="G137" s="19" t="str">
        <x:v>408261 Transf.manzana 10 lote 12</x:v>
      </x:c>
      <x:c r="H137" s="20" t="str">
        <x:v>RASTREO 50119546TRANSBPI67662998</x:v>
      </x:c>
      <x:c r="I137" s="19" t="str">
        <x:v>DEPOSITO SPEI | DULCE ALEJANDRA COTA OJEDA | BANCOPPEL 137061104415459546 | 408261 Transf.manzana 10 lote 12 | CLAVE DE RASTREO 50119546TRANSBPI67662998</x:v>
      </x:c>
      <x:c r="J137" s="21"/>
      <x:c r="K137" s="21" t="n">
        <x:v>1500</x:v>
      </x:c>
      <x:c r="L137" s="21" t="n">
        <x:v>249420.31</x:v>
      </x:c>
      <x:c r="M137" s="22" t="n">
        <x:v>14</x:v>
      </x:c>
    </x:row>
    <x:row r="138" ht="30" customHeight="1">
      <x:c r="A138" s="16" t="n">
        <x:v>46238</x:v>
      </x:c>
      <x:c r="B138" s="17" t="str">
        <x:v>4090604146</x:v>
      </x:c>
      <x:c r="C138" s="18" t="str">
        <x:v>DEPOSITO SPEI</x:v>
      </x:c>
      <x:c r="D138" s="18" t="str">
        <x:v>MARIA TERESA AVILES</x:v>
      </x:c>
      <x:c r="E138" s="18" t="str">
        <x:v>BBVA MEXICO</x:v>
      </x:c>
      <x:c r="F138" s="17" t="str">
        <x:v>CTA 012040015252789442</x:v>
      </x:c>
      <x:c r="G138" s="19" t="str">
        <x:v>3107260 Maria teresa aviles M22 L15</x:v>
      </x:c>
      <x:c r="H138" s="20" t="str">
        <x:v>RASTREO MBAN01002608040098666342</x:v>
      </x:c>
      <x:c r="I138" s="19" t="str">
        <x:v>DEPOSITO SPEI | MARIA TERESA AVILES | BBVA MEXICO 012040015252789442 | 3107260 Maria teresa aviles M22 L15 | CLAVE DE RASTREO MBAN01002608040098666342</x:v>
      </x:c>
      <x:c r="J138" s="21"/>
      <x:c r="K138" s="21" t="n">
        <x:v>1500</x:v>
      </x:c>
      <x:c r="L138" s="21" t="n">
        <x:v>250920.31</x:v>
      </x:c>
      <x:c r="M138" s="22" t="n">
        <x:v>14</x:v>
      </x:c>
    </x:row>
    <x:row r="139" ht="30" customHeight="1">
      <x:c r="A139" s="16" t="n">
        <x:v>46238</x:v>
      </x:c>
      <x:c r="B139" s="17" t="str">
        <x:v>4090722570</x:v>
      </x:c>
      <x:c r="C139" s="18" t="str">
        <x:v>DEPOSITO SPEI</x:v>
      </x:c>
      <x:c r="D139" s="18" t="str">
        <x:v>MILKA LUCIA,MALDONADO/BARRERAS</x:v>
      </x:c>
      <x:c r="E139" s="18" t="str">
        <x:v>BANAMEX</x:v>
      </x:c>
      <x:c r="F139" s="17" t="str">
        <x:v>CTA 002043901575933148</x:v>
      </x:c>
      <x:c r="G139" s="19" t="str">
        <x:v>40826 M 24 L32</x:v>
      </x:c>
      <x:c r="H139" s="20" t="str">
        <x:v>RASTREO 085907194074321668</x:v>
      </x:c>
      <x:c r="I139" s="19" t="str">
        <x:v>DEPOSITO SPEI | MILKA LUCIA,MALDONADO/BARRERAS | BANAMEX 002043901575933148 | 40826 M 24 L32 | CLAVE DE RASTREO 085907194074321668</x:v>
      </x:c>
      <x:c r="J139" s="21"/>
      <x:c r="K139" s="21" t="n">
        <x:v>1500</x:v>
      </x:c>
      <x:c r="L139" s="21" t="n">
        <x:v>252420.31</x:v>
      </x:c>
      <x:c r="M139" s="22" t="n">
        <x:v>14</x:v>
      </x:c>
    </x:row>
    <x:row r="140" ht="30" customHeight="1">
      <x:c r="A140" s="16" t="n">
        <x:v>46238</x:v>
      </x:c>
      <x:c r="B140" s="17" t="str">
        <x:v>4090725219</x:v>
      </x:c>
      <x:c r="C140" s="18" t="str">
        <x:v>DEPOSITO SPEI</x:v>
      </x:c>
      <x:c r="D140" s="18" t="str">
        <x:v>MILKA LUCIA,MALDONADO/BARRERAS</x:v>
      </x:c>
      <x:c r="E140" s="18" t="str">
        <x:v>BANAMEX</x:v>
      </x:c>
      <x:c r="F140" s="17" t="str">
        <x:v>CTA 002043901575933148</x:v>
      </x:c>
      <x:c r="G140" s="19" t="str">
        <x:v>40826 M 26 L 22</x:v>
      </x:c>
      <x:c r="H140" s="20" t="str">
        <x:v>RASTREO 085907209684321667</x:v>
      </x:c>
      <x:c r="I140" s="19" t="str">
        <x:v>DEPOSITO SPEI | MILKA LUCIA,MALDONADO/BARRERAS | BANAMEX 002043901575933148 | 40826 M 26 L 22 | CLAVE DE RASTREO 085907209684321667</x:v>
      </x:c>
      <x:c r="J140" s="21"/>
      <x:c r="K140" s="21" t="n">
        <x:v>1500</x:v>
      </x:c>
      <x:c r="L140" s="21" t="n">
        <x:v>253920.31</x:v>
      </x:c>
      <x:c r="M140" s="22" t="n">
        <x:v>14</x:v>
      </x:c>
    </x:row>
    <x:row r="141" ht="30" customHeight="1">
      <x:c r="A141" s="16" t="n">
        <x:v>46238</x:v>
      </x:c>
      <x:c r="B141" s="17" t="str">
        <x:v>4090727490</x:v>
      </x:c>
      <x:c r="C141" s="18" t="str">
        <x:v>DEPOSITO SPEI</x:v>
      </x:c>
      <x:c r="D141" s="18" t="str">
        <x:v>MILKA LUCIA,MALDONADO/BARRERAS</x:v>
      </x:c>
      <x:c r="E141" s="18" t="str">
        <x:v>BANAMEX</x:v>
      </x:c>
      <x:c r="F141" s="17" t="str">
        <x:v>CTA 002043901575933148</x:v>
      </x:c>
      <x:c r="G141" s="19" t="str">
        <x:v>40826 M 17 L 27</x:v>
      </x:c>
      <x:c r="H141" s="20" t="str">
        <x:v>RASTREO 085907223554321668</x:v>
      </x:c>
      <x:c r="I141" s="19" t="str">
        <x:v>DEPOSITO SPEI | MILKA LUCIA,MALDONADO/BARRERAS | BANAMEX 002043901575933148 | 40826 M 17 L 27 | CLAVE DE RASTREO 085907223554321668</x:v>
      </x:c>
      <x:c r="J141" s="21"/>
      <x:c r="K141" s="21" t="n">
        <x:v>2000</x:v>
      </x:c>
      <x:c r="L141" s="21" t="n">
        <x:v>255920.31</x:v>
      </x:c>
      <x:c r="M141" s="22" t="n">
        <x:v>14</x:v>
      </x:c>
    </x:row>
    <x:row r="142" ht="30" customHeight="1">
      <x:c r="A142" s="16" t="n">
        <x:v>46238</x:v>
      </x:c>
      <x:c r="B142" s="17" t="str">
        <x:v>4090897082</x:v>
      </x:c>
      <x:c r="C142" s="18" t="str">
        <x:v>DEPOSITO SPEI</x:v>
      </x:c>
      <x:c r="D142" s="18" t="str">
        <x:v>ESPERANZA ZAMORA SANCHEZ</x:v>
      </x:c>
      <x:c r="E142" s="18" t="str">
        <x:v>BBVA MEXICO</x:v>
      </x:c>
      <x:c r="F142" s="17" t="str">
        <x:v>CTA 012040015356368604</x:v>
      </x:c>
      <x:c r="G142" s="19" t="str">
        <x:v>3107260 espernza Zamora anualidad M22 L8</x:v>
      </x:c>
      <x:c r="H142" s="20" t="str">
        <x:v>RASTREO MBAN01002608050050294278</x:v>
      </x:c>
      <x:c r="I142" s="19" t="str">
        <x:v>DEPOSITO SPEI | ESPERANZA ZAMORA SANCHEZ | BBVA MEXICO 012040015356368604 | 3107260 espernza Zamora anualidad M22 L8 | CLAVE DE RASTREO MBAN01002608050050294278</x:v>
      </x:c>
      <x:c r="J142" s="21"/>
      <x:c r="K142" s="21" t="n">
        <x:v>9466</x:v>
      </x:c>
      <x:c r="L142" s="21" t="n">
        <x:v>265386.31</x:v>
      </x:c>
      <x:c r="M142" s="22" t="n">
        <x:v>14</x:v>
      </x:c>
    </x:row>
    <x:row r="143" ht="30" customHeight="1">
      <x:c r="A143" s="16" t="n">
        <x:v>46239</x:v>
      </x:c>
      <x:c r="B143" s="17" t="str">
        <x:v>4091161536</x:v>
      </x:c>
      <x:c r="C143" s="18" t="str">
        <x:v>GAS REPSOL MX</x:v>
      </x:c>
      <x:c r="D143" s="18" t="str"/>
      <x:c r="E143" s="18" t="str"/>
      <x:c r="F143" s="17" t="str"/>
      <x:c r="G143" s="19" t="str"/>
      <x:c r="H143" s="20" t="str"/>
      <x:c r="I143" s="19" t="str">
        <x:v>GAS REPSOL MX</x:v>
      </x:c>
      <x:c r="J143" s="21" t="n">
        <x:v>380</x:v>
      </x:c>
      <x:c r="K143" s="21"/>
      <x:c r="L143" s="21" t="n">
        <x:v>265006.31</x:v>
      </x:c>
      <x:c r="M143" s="22" t="n">
        <x:v>15</x:v>
      </x:c>
    </x:row>
    <x:row r="144" ht="30" customHeight="1">
      <x:c r="A144" s="16" t="n">
        <x:v>46239</x:v>
      </x:c>
      <x:c r="B144" s="17" t="str">
        <x:v>4091161554</x:v>
      </x:c>
      <x:c r="C144" s="18" t="str">
        <x:v>GASO OLACHEA MX</x:v>
      </x:c>
      <x:c r="D144" s="18" t="str"/>
      <x:c r="E144" s="18" t="str"/>
      <x:c r="F144" s="17" t="str"/>
      <x:c r="G144" s="19" t="str"/>
      <x:c r="H144" s="20" t="str"/>
      <x:c r="I144" s="19" t="str">
        <x:v>GASO OLACHEA MX</x:v>
      </x:c>
      <x:c r="J144" s="21" t="n">
        <x:v>500</x:v>
      </x:c>
      <x:c r="K144" s="21"/>
      <x:c r="L144" s="21" t="n">
        <x:v>264506.31</x:v>
      </x:c>
      <x:c r="M144" s="22" t="n">
        <x:v>15</x:v>
      </x:c>
    </x:row>
    <x:row r="145" ht="30" customHeight="1">
      <x:c r="A145" s="16" t="n">
        <x:v>46239</x:v>
      </x:c>
      <x:c r="B145" s="17" t="str">
        <x:v>4091161571</x:v>
      </x:c>
      <x:c r="C145" s="18" t="str">
        <x:v>CAMARENAAUTOPA MX</x:v>
      </x:c>
      <x:c r="D145" s="18" t="str"/>
      <x:c r="E145" s="18" t="str"/>
      <x:c r="F145" s="17" t="str"/>
      <x:c r="G145" s="19" t="str"/>
      <x:c r="H145" s="20" t="str"/>
      <x:c r="I145" s="19" t="str">
        <x:v>CAMARENAAUTOPA MX</x:v>
      </x:c>
      <x:c r="J145" s="21" t="n">
        <x:v>1590</x:v>
      </x:c>
      <x:c r="K145" s="21"/>
      <x:c r="L145" s="21" t="n">
        <x:v>262916.31</x:v>
      </x:c>
      <x:c r="M145" s="22" t="n">
        <x:v>15</x:v>
      </x:c>
    </x:row>
    <x:row r="146" ht="30" customHeight="1">
      <x:c r="A146" s="16" t="n">
        <x:v>46239</x:v>
      </x:c>
      <x:c r="B146" s="17" t="str">
        <x:v>4091330322</x:v>
      </x:c>
      <x:c r="C146" s="18" t="str">
        <x:v>DEPOSITO SPEI</x:v>
      </x:c>
      <x:c r="D146" s="18" t="str">
        <x:v>MA PURESA OLVERA TIRADO</x:v>
      </x:c>
      <x:c r="E146" s="18" t="str">
        <x:v>SANTANDER</x:v>
      </x:c>
      <x:c r="F146" s="17" t="str">
        <x:v>CTA 014040566104829017</x:v>
      </x:c>
      <x:c r="G146" s="19" t="str">
        <x:v>7036646 AGOSTO 26 LOTE 21 MNA 6</x:v>
      </x:c>
      <x:c r="H146" s="20" t="str">
        <x:v>RASTREO 2026080540014BMOVP000430385170</x:v>
      </x:c>
      <x:c r="I146" s="19" t="str">
        <x:v>DEPOSITO SPEI | MA PURESA OLVERA TIRADO | SANTANDER 014040566104829017 | 7036646 AGOSTO 26 LOTE 21 MNA 6 | CLAVE DE RASTREO 2026080540014BMOVP000430385170</x:v>
      </x:c>
      <x:c r="J146" s="21"/>
      <x:c r="K146" s="21" t="n">
        <x:v>1500</x:v>
      </x:c>
      <x:c r="L146" s="21" t="n">
        <x:v>264416.31</x:v>
      </x:c>
      <x:c r="M146" s="22" t="n">
        <x:v>15</x:v>
      </x:c>
    </x:row>
    <x:row r="147" ht="30" customHeight="1">
      <x:c r="A147" s="16" t="n">
        <x:v>46239</x:v>
      </x:c>
      <x:c r="B147" s="17" t="str">
        <x:v>4091422743</x:v>
      </x:c>
      <x:c r="C147" s="18" t="str">
        <x:v>DEPOSITO SPEI</x:v>
      </x:c>
      <x:c r="D147" s="18" t="str">
        <x:v>MARIA GUADALUPE ESPINOZA AMADOR</x:v>
      </x:c>
      <x:c r="E147" s="18" t="str">
        <x:v>BBVA MEXICO</x:v>
      </x:c>
      <x:c r="F147" s="17" t="str">
        <x:v>CTA 012180015331849503</x:v>
      </x:c>
      <x:c r="G147" s="19" t="str">
        <x:v>2206260 Manzana 5 Lote 6</x:v>
      </x:c>
      <x:c r="H147" s="20" t="str">
        <x:v>RASTREO MBAN01002608050051287606</x:v>
      </x:c>
      <x:c r="I147" s="19" t="str">
        <x:v>DEPOSITO SPEI | MARIA GUADALUPE ESPINOZA AMADOR | BBVA MEXICO 012180015331849503 | 2206260 Manzana 5 Lote 6 | CLAVE DE RASTREO MBAN01002608050051287606</x:v>
      </x:c>
      <x:c r="J147" s="21"/>
      <x:c r="K147" s="21" t="n">
        <x:v>1500</x:v>
      </x:c>
      <x:c r="L147" s="21" t="n">
        <x:v>265916.31</x:v>
      </x:c>
      <x:c r="M147" s="22" t="n">
        <x:v>15</x:v>
      </x:c>
    </x:row>
    <x:row r="148" ht="30" customHeight="1">
      <x:c r="A148" s="16" t="n">
        <x:v>46239</x:v>
      </x:c>
      <x:c r="B148" s="17" t="str">
        <x:v>8202629004</x:v>
      </x:c>
      <x:c r="C148" s="18" t="str">
        <x:v>TRANSFERENCIA SPEI</x:v>
      </x:c>
      <x:c r="D148" s="18" t="str">
        <x:v>FYMSA BAJA SUR SRL DE CV</x:v>
      </x:c>
      <x:c r="E148" s="18" t="str">
        <x:v>BBVA MEXICO</x:v>
      </x:c>
      <x:c r="F148" s="17" t="str">
        <x:v>CTA 012040001171445392</x:v>
      </x:c>
      <x:c r="G148" s="19" t="str">
        <x:v>20260805 Pago | 036NAPP05082026290040323 RFC NO DISPONIBLE</x:v>
      </x:c>
      <x:c r="H148" s="20" t="str"/>
      <x:c r="I148" s="19" t="str">
        <x:v>TRANSFERENCIA SPEI | FYMSA BAJA SUR SRL DE CV | BBVA MEXICO 012040001171445392 | 20260805 Pago | 036NAPP05082026290040323 RFC NO DISPONIBLE</x:v>
      </x:c>
      <x:c r="J148" s="21" t="n">
        <x:v>8871.27</x:v>
      </x:c>
      <x:c r="K148" s="21"/>
      <x:c r="L148" s="21" t="n">
        <x:v>257045.04</x:v>
      </x:c>
      <x:c r="M148" s="22" t="n">
        <x:v>15</x:v>
      </x:c>
    </x:row>
    <x:row r="149" ht="30" customHeight="1">
      <x:c r="A149" s="16" t="n">
        <x:v>46239</x:v>
      </x:c>
      <x:c r="B149" s="17" t="str">
        <x:v>4091504020</x:v>
      </x:c>
      <x:c r="C149" s="18" t="str">
        <x:v>DEPOSITO SPEI</x:v>
      </x:c>
      <x:c r="D149" s="18" t="str">
        <x:v>OYURI ANGELES HERNANDEZ</x:v>
      </x:c>
      <x:c r="E149" s="18" t="str">
        <x:v>SANTANDER</x:v>
      </x:c>
      <x:c r="F149" s="17" t="str">
        <x:v>CTA 014045567455347190</x:v>
      </x:c>
      <x:c r="G149" s="19" t="str">
        <x:v>7061203 PV M8 L25 OYURI ANGELES HERNANDEZ</x:v>
      </x:c>
      <x:c r="H149" s="20" t="str">
        <x:v>RASTREO 2026080540014TRAPP000435370950</x:v>
      </x:c>
      <x:c r="I149" s="19" t="str">
        <x:v>DEPOSITO SPEI | OYURI ANGELES HERNANDEZ | SANTANDER 014045567455347190 | 7061203 PV M8 L25 OYURI ANGELES HERNANDEZ | CLAVE DE RASTREO 2026080540014TRAPP000435370950</x:v>
      </x:c>
      <x:c r="J149" s="21"/>
      <x:c r="K149" s="21" t="n">
        <x:v>2388</x:v>
      </x:c>
      <x:c r="L149" s="21" t="n">
        <x:v>259433.04</x:v>
      </x:c>
      <x:c r="M149" s="22" t="n">
        <x:v>15</x:v>
      </x:c>
    </x:row>
    <x:row r="150" ht="30" customHeight="1">
      <x:c r="A150" s="16" t="n">
        <x:v>46239</x:v>
      </x:c>
      <x:c r="B150" s="17" t="str">
        <x:v>4091519954</x:v>
      </x:c>
      <x:c r="C150" s="18" t="str">
        <x:v>DEPOSITO SPEI</x:v>
      </x:c>
      <x:c r="D150" s="18" t="str">
        <x:v>HEBERTH ROMERO JORDAN</x:v>
      </x:c>
      <x:c r="E150" s="18" t="str">
        <x:v>BBVA MEXICO</x:v>
      </x:c>
      <x:c r="F150" s="17" t="str">
        <x:v>CTA 012180015201437346</x:v>
      </x:c>
      <x:c r="G150" s="19" t="str">
        <x:v>3107260 M16 L14</x:v>
      </x:c>
      <x:c r="H150" s="20" t="str">
        <x:v>RASTREO MBAN01002608050051669364</x:v>
      </x:c>
      <x:c r="I150" s="19" t="str">
        <x:v>DEPOSITO SPEI | HEBERTH ROMERO JORDAN | BBVA MEXICO 012180015201437346 | 3107260 M16 L14 | CLAVE DE RASTREO MBAN01002608050051669364</x:v>
      </x:c>
      <x:c r="J150" s="21"/>
      <x:c r="K150" s="21" t="n">
        <x:v>1500</x:v>
      </x:c>
      <x:c r="L150" s="21" t="n">
        <x:v>260933.04</x:v>
      </x:c>
      <x:c r="M150" s="22" t="n">
        <x:v>15</x:v>
      </x:c>
    </x:row>
    <x:row r="151" ht="30" customHeight="1">
      <x:c r="A151" s="16" t="n">
        <x:v>46239</x:v>
      </x:c>
      <x:c r="B151" s="17" t="str">
        <x:v>4091606634</x:v>
      </x:c>
      <x:c r="C151" s="18" t="str">
        <x:v>DEPOSITO SPEI</x:v>
      </x:c>
      <x:c r="D151" s="18" t="str">
        <x:v>FERNANDO RAMIREZ MENDEZ</x:v>
      </x:c>
      <x:c r="E151" s="18" t="str">
        <x:v>Mercado Pago W</x:v>
      </x:c>
      <x:c r="F151" s="17" t="str">
        <x:v>CTA 722969010669387544</x:v>
      </x:c>
      <x:c r="G151" s="19" t="str">
        <x:v>3118258 Pago terreno num 15</x:v>
      </x:c>
      <x:c r="H151" s="20" t="str">
        <x:v>RASTREO CPO172213118258</x:v>
      </x:c>
      <x:c r="I151" s="19" t="str">
        <x:v>DEPOSITO SPEI | FERNANDO RAMIREZ MENDEZ | Mercado Pago W 722969010669387544 | 3118258 Pago terreno num 15 | CLAVE DE RASTREO CPO172213118258</x:v>
      </x:c>
      <x:c r="J151" s="21"/>
      <x:c r="K151" s="21" t="n">
        <x:v>1500</x:v>
      </x:c>
      <x:c r="L151" s="21" t="n">
        <x:v>262433.04</x:v>
      </x:c>
      <x:c r="M151" s="22" t="n">
        <x:v>15</x:v>
      </x:c>
    </x:row>
    <x:row r="152" ht="30" customHeight="1">
      <x:c r="A152" s="16" t="n">
        <x:v>46239</x:v>
      </x:c>
      <x:c r="B152" s="17" t="str">
        <x:v>4091660665</x:v>
      </x:c>
      <x:c r="C152" s="18" t="str">
        <x:v>DEPOSITO SPEI</x:v>
      </x:c>
      <x:c r="D152" s="18" t="str">
        <x:v>DARETH YAMILE JACINTO GARCIA</x:v>
      </x:c>
      <x:c r="E152" s="18" t="str">
        <x:v>BBVA MEXICO</x:v>
      </x:c>
      <x:c r="F152" s="17" t="str">
        <x:v>CTA 012180015421394968</x:v>
      </x:c>
      <x:c r="G152" s="19" t="str">
        <x:v>2206260 manzana 5 lote 13 palo verde</x:v>
      </x:c>
      <x:c r="H152" s="20" t="str">
        <x:v>RASTREO MBAN01002608050052242043</x:v>
      </x:c>
      <x:c r="I152" s="19" t="str">
        <x:v>DEPOSITO SPEI | DARETH YAMILE JACINTO GARCIA | BBVA MEXICO 012180015421394968 | 2206260 manzana 5 lote 13 palo verde | CLAVE DE RASTREO MBAN01002608050052242043</x:v>
      </x:c>
      <x:c r="J152" s="21"/>
      <x:c r="K152" s="21" t="n">
        <x:v>2805</x:v>
      </x:c>
      <x:c r="L152" s="21" t="n">
        <x:v>265238.04</x:v>
      </x:c>
      <x:c r="M152" s="22" t="n">
        <x:v>15</x:v>
      </x:c>
    </x:row>
    <x:row r="153" ht="30" customHeight="1">
      <x:c r="A153" s="16" t="n">
        <x:v>46239</x:v>
      </x:c>
      <x:c r="B153" s="17" t="str">
        <x:v>4091662800</x:v>
      </x:c>
      <x:c r="C153" s="18" t="str">
        <x:v>DEPOSITO SPEI</x:v>
      </x:c>
      <x:c r="D153" s="18" t="str">
        <x:v>DARETH YAMILE JACINTO GARCIA</x:v>
      </x:c>
      <x:c r="E153" s="18" t="str">
        <x:v>BBVA MEXICO</x:v>
      </x:c>
      <x:c r="F153" s="17" t="str">
        <x:v>CTA 012180015421394968</x:v>
      </x:c>
      <x:c r="G153" s="19" t="str">
        <x:v>2206260 manzana 5 lote 14 palo verde</x:v>
      </x:c>
      <x:c r="H153" s="20" t="str">
        <x:v>RASTREO MBAN01002608050052248286</x:v>
      </x:c>
      <x:c r="I153" s="19" t="str">
        <x:v>DEPOSITO SPEI | DARETH YAMILE JACINTO GARCIA | BBVA MEXICO 012180015421394968 | 2206260 manzana 5 lote 14 palo verde | CLAVE DE RASTREO MBAN01002608050052248286</x:v>
      </x:c>
      <x:c r="J153" s="21"/>
      <x:c r="K153" s="21" t="n">
        <x:v>2805</x:v>
      </x:c>
      <x:c r="L153" s="21" t="n">
        <x:v>268043.04</x:v>
      </x:c>
      <x:c r="M153" s="22" t="n">
        <x:v>15</x:v>
      </x:c>
    </x:row>
    <x:row r="154" ht="30" customHeight="1">
      <x:c r="A154" s="16" t="n">
        <x:v>46239</x:v>
      </x:c>
      <x:c r="B154" s="17" t="str">
        <x:v>4091679146</x:v>
      </x:c>
      <x:c r="C154" s="18" t="str">
        <x:v>DEPOSITO SPEI</x:v>
      </x:c>
      <x:c r="D154" s="18" t="str">
        <x:v>GUILLERMO IVAN GARCIA MARTINEZ</x:v>
      </x:c>
      <x:c r="E154" s="18" t="str">
        <x:v>BBVA MEXICO</x:v>
      </x:c>
      <x:c r="F154" s="17" t="str">
        <x:v>CTA 012438015134965844</x:v>
      </x:c>
      <x:c r="G154" s="19" t="str">
        <x:v>3107260 Mz1 Lt1</x:v>
      </x:c>
      <x:c r="H154" s="20" t="str">
        <x:v>RASTREO MBAN01002608050052307540</x:v>
      </x:c>
      <x:c r="I154" s="19" t="str">
        <x:v>DEPOSITO SPEI | GUILLERMO IVAN GARCIA MARTINEZ | BBVA MEXICO 012438015134965844 | 3107260 Mz1 Lt1 | CLAVE DE RASTREO MBAN01002608050052307540</x:v>
      </x:c>
      <x:c r="J154" s="21"/>
      <x:c r="K154" s="21" t="n">
        <x:v>1500</x:v>
      </x:c>
      <x:c r="L154" s="21" t="n">
        <x:v>269543.04</x:v>
      </x:c>
      <x:c r="M154" s="22" t="n">
        <x:v>15</x:v>
      </x:c>
    </x:row>
    <x:row r="155" ht="30" customHeight="1">
      <x:c r="A155" s="16" t="n">
        <x:v>46239</x:v>
      </x:c>
      <x:c r="B155" s="17" t="str">
        <x:v>4091689434</x:v>
      </x:c>
      <x:c r="C155" s="18" t="str">
        <x:v>DEPOSITO SPEI</x:v>
      </x:c>
      <x:c r="D155" s="18" t="str">
        <x:v>LIZBETH LUCIA CATANEO FLORES</x:v>
      </x:c>
      <x:c r="E155" s="18" t="str">
        <x:v>SANTANDER</x:v>
      </x:c>
      <x:c r="F155" s="17" t="str">
        <x:v>CTA 014041567852006957</x:v>
      </x:c>
      <x:c r="G155" s="19" t="str">
        <x:v>50826 PAGO SEMESTRAL M23 L2 LIZBETH CATANEO</x:v>
      </x:c>
      <x:c r="H155" s="20" t="str">
        <x:v>RASTREO 2026080540014BMOVP000440357050</x:v>
      </x:c>
      <x:c r="I155" s="19" t="str">
        <x:v>DEPOSITO SPEI | LIZBETH LUCIA CATANEO FLORES | SANTANDER 014041567852006957 | 50826 PAGO SEMESTRAL M23 L2 LIZBETH CATANEO | CLAVE DE RASTREO 2026080540014BMOVP000440357050</x:v>
      </x:c>
      <x:c r="J155" s="21"/>
      <x:c r="K155" s="21" t="n">
        <x:v>10000</x:v>
      </x:c>
      <x:c r="L155" s="21" t="n">
        <x:v>279543.04</x:v>
      </x:c>
      <x:c r="M155" s="22" t="n">
        <x:v>16</x:v>
      </x:c>
    </x:row>
    <x:row r="156" ht="30" customHeight="1">
      <x:c r="A156" s="16" t="n">
        <x:v>46239</x:v>
      </x:c>
      <x:c r="B156" s="17" t="str">
        <x:v>4091690105</x:v>
      </x:c>
      <x:c r="C156" s="18" t="str">
        <x:v>DEPOSITO SPEI</x:v>
      </x:c>
      <x:c r="D156" s="18" t="str">
        <x:v>LUIS FERNANDEZ MONTOYA</x:v>
      </x:c>
      <x:c r="E156" s="18" t="str">
        <x:v>BBVA MEXICO</x:v>
      </x:c>
      <x:c r="F156" s="17" t="str">
        <x:v>CTA 012040011757261744</x:v>
      </x:c>
      <x:c r="G156" s="19" t="str">
        <x:v>3107260 mza4 lte27</x:v>
      </x:c>
      <x:c r="H156" s="20" t="str">
        <x:v>RASTREO MBAN01002608050052336479</x:v>
      </x:c>
      <x:c r="I156" s="19" t="str">
        <x:v>DEPOSITO SPEI | LUIS FERNANDEZ MONTOYA | BBVA MEXICO 012040011757261744 | 3107260 mza4 lte27 | CLAVE DE RASTREO MBAN01002608050052336479</x:v>
      </x:c>
      <x:c r="J156" s="21"/>
      <x:c r="K156" s="21" t="n">
        <x:v>1500</x:v>
      </x:c>
      <x:c r="L156" s="21" t="n">
        <x:v>281043.04</x:v>
      </x:c>
      <x:c r="M156" s="22" t="n">
        <x:v>16</x:v>
      </x:c>
    </x:row>
    <x:row r="157" ht="30" customHeight="1">
      <x:c r="A157" s="16" t="n">
        <x:v>46239</x:v>
      </x:c>
      <x:c r="B157" s="17" t="str">
        <x:v>4091781967</x:v>
      </x:c>
      <x:c r="C157" s="18" t="str">
        <x:v>DEPOSITO SPEI</x:v>
      </x:c>
      <x:c r="D157" s="18" t="str">
        <x:v>JOSE LUIS NARES MARTINEZ</x:v>
      </x:c>
      <x:c r="E157" s="18" t="str">
        <x:v>BANCOPPEL</x:v>
      </x:c>
      <x:c r="F157" s="17" t="str">
        <x:v>CTA 137040103377810342</x:v>
      </x:c>
      <x:c r="G157" s="19" t="str">
        <x:v>508260 Transf. a pago renta carro</x:v>
      </x:c>
      <x:c r="H157" s="20" t="str">
        <x:v>RASTREO 50110342TRANSBPI79160345</x:v>
      </x:c>
      <x:c r="I157" s="19" t="str">
        <x:v>DEPOSITO SPEI | JOSE LUIS NARES MARTINEZ | BANCOPPEL 137040103377810342 | 508260 Transf. a pago renta carro | CLAVE DE RASTREO 50110342TRANSBPI79160345</x:v>
      </x:c>
      <x:c r="J157" s="21"/>
      <x:c r="K157" s="21" t="n">
        <x:v>2400</x:v>
      </x:c>
      <x:c r="L157" s="21" t="n">
        <x:v>283443.04</x:v>
      </x:c>
      <x:c r="M157" s="22" t="n">
        <x:v>16</x:v>
      </x:c>
    </x:row>
    <x:row r="158" ht="30" customHeight="1">
      <x:c r="A158" s="16" t="n">
        <x:v>46239</x:v>
      </x:c>
      <x:c r="B158" s="17" t="str">
        <x:v>4091818129</x:v>
      </x:c>
      <x:c r="C158" s="18" t="str">
        <x:v>DEPOSITO SPEI</x:v>
      </x:c>
      <x:c r="D158" s="18" t="str">
        <x:v>OSCAR ALEJANDRO RIZO ESTRADA</x:v>
      </x:c>
      <x:c r="E158" s="18" t="str">
        <x:v>BBVA MEXICO</x:v>
      </x:c>
      <x:c r="F158" s="17" t="str">
        <x:v>CTA 012320014476378965</x:v>
      </x:c>
      <x:c r="G158" s="19" t="str">
        <x:v>2206260 M7L10OscarAlejandroRizoEstrada</x:v>
      </x:c>
      <x:c r="H158" s="20" t="str">
        <x:v>RASTREO MBAN01002608050052613656</x:v>
      </x:c>
      <x:c r="I158" s="19" t="str">
        <x:v>DEPOSITO SPEI | OSCAR ALEJANDRO RIZO ESTRADA | BBVA MEXICO 012320014476378965 | 2206260 M7L10OscarAlejandroRizoEstrada | CLAVE DE RASTREO MBAN01002608050052613656</x:v>
      </x:c>
      <x:c r="J158" s="21"/>
      <x:c r="K158" s="21" t="n">
        <x:v>1500</x:v>
      </x:c>
      <x:c r="L158" s="21" t="n">
        <x:v>284943.04</x:v>
      </x:c>
      <x:c r="M158" s="22" t="n">
        <x:v>16</x:v>
      </x:c>
    </x:row>
    <x:row r="159" ht="30" customHeight="1">
      <x:c r="A159" s="16" t="n">
        <x:v>46239</x:v>
      </x:c>
      <x:c r="B159" s="17" t="str">
        <x:v>4091848093</x:v>
      </x:c>
      <x:c r="C159" s="18" t="str">
        <x:v>DEPOSITO SPEI</x:v>
      </x:c>
      <x:c r="D159" s="18" t="str">
        <x:v>ALEJANDRO GODINEZ CASTRO</x:v>
      </x:c>
      <x:c r="E159" s="18" t="str">
        <x:v>SANTANDER</x:v>
      </x:c>
      <x:c r="F159" s="17" t="str">
        <x:v>CTA 014430567956131229</x:v>
      </x:c>
      <x:c r="G159" s="19" t="str">
        <x:v>1475662 M16 L9 ALEJANDRO CASTRO</x:v>
      </x:c>
      <x:c r="H159" s="20" t="str">
        <x:v>RASTREO 2026080540014TRAPP000442695690</x:v>
      </x:c>
      <x:c r="I159" s="19" t="str">
        <x:v>DEPOSITO SPEI | ALEJANDRO GODINEZ CASTRO | SANTANDER 014430567956131229 | 1475662 M16 L9 ALEJANDRO CASTRO | CLAVE DE RASTREO 2026080540014TRAPP000442695690</x:v>
      </x:c>
      <x:c r="J159" s="21"/>
      <x:c r="K159" s="21" t="n">
        <x:v>3000</x:v>
      </x:c>
      <x:c r="L159" s="21" t="n">
        <x:v>287943.04</x:v>
      </x:c>
      <x:c r="M159" s="22" t="n">
        <x:v>16</x:v>
      </x:c>
    </x:row>
    <x:row r="160" ht="30" customHeight="1">
      <x:c r="A160" s="16" t="n">
        <x:v>46239</x:v>
      </x:c>
      <x:c r="B160" s="17" t="str">
        <x:v>4091882929</x:v>
      </x:c>
      <x:c r="C160" s="18" t="str">
        <x:v>DEPOSITO SPEI</x:v>
      </x:c>
      <x:c r="D160" s="18" t="str">
        <x:v>RICARDO VARGAS LOPEZ</x:v>
      </x:c>
      <x:c r="E160" s="18" t="str">
        <x:v>BBVA MEXICO</x:v>
      </x:c>
      <x:c r="F160" s="17" t="str">
        <x:v>CTA 012180015008234593</x:v>
      </x:c>
      <x:c r="G160" s="19" t="str">
        <x:v>3107260 ricardo vargas lopez lote 3 mzn 11</x:v>
      </x:c>
      <x:c r="H160" s="20" t="str">
        <x:v>RASTREO MBAN01002608050052752374</x:v>
      </x:c>
      <x:c r="I160" s="19" t="str">
        <x:v>DEPOSITO SPEI | RICARDO VARGAS LOPEZ | BBVA MEXICO 012180015008234593 | 3107260 ricardo vargas lopez lote 3 mzn 11 | CLAVE DE RASTREO MBAN01002608050052752374</x:v>
      </x:c>
      <x:c r="J160" s="21"/>
      <x:c r="K160" s="21" t="n">
        <x:v>2944.44</x:v>
      </x:c>
      <x:c r="L160" s="21" t="n">
        <x:v>290887.48</x:v>
      </x:c>
      <x:c r="M160" s="22" t="n">
        <x:v>16</x:v>
      </x:c>
    </x:row>
    <x:row r="161" ht="30" customHeight="1">
      <x:c r="A161" s="16" t="n">
        <x:v>46239</x:v>
      </x:c>
      <x:c r="B161" s="17" t="str">
        <x:v>4091883015</x:v>
      </x:c>
      <x:c r="C161" s="18" t="str">
        <x:v>DEPOSITO SPEI</x:v>
      </x:c>
      <x:c r="D161" s="18" t="str">
        <x:v>RICARDO VARGAS LOPEZ</x:v>
      </x:c>
      <x:c r="E161" s="18" t="str">
        <x:v>BBVA MEXICO</x:v>
      </x:c>
      <x:c r="F161" s="17" t="str">
        <x:v>CTA 012180015008234593</x:v>
      </x:c>
      <x:c r="G161" s="19" t="str">
        <x:v>3107260 ricardo vargas Lopez lte 2 mzn 11</x:v>
      </x:c>
      <x:c r="H161" s="20" t="str">
        <x:v>RASTREO MBAN01002608050052737207</x:v>
      </x:c>
      <x:c r="I161" s="19" t="str">
        <x:v>DEPOSITO SPEI | RICARDO VARGAS LOPEZ | BBVA MEXICO 012180015008234593 | 3107260 ricardo vargas Lopez lte 2 mzn 11 | CLAVE DE RASTREO MBAN01002608050052737207</x:v>
      </x:c>
      <x:c r="J161" s="21"/>
      <x:c r="K161" s="21" t="n">
        <x:v>2944.44</x:v>
      </x:c>
      <x:c r="L161" s="21" t="n">
        <x:v>293831.92</x:v>
      </x:c>
      <x:c r="M161" s="22" t="n">
        <x:v>16</x:v>
      </x:c>
    </x:row>
    <x:row r="162" ht="30" customHeight="1">
      <x:c r="A162" s="16" t="n">
        <x:v>46239</x:v>
      </x:c>
      <x:c r="B162" s="17" t="str">
        <x:v>4091883664</x:v>
      </x:c>
      <x:c r="C162" s="18" t="str">
        <x:v>DEPOSITO SPEI</x:v>
      </x:c>
      <x:c r="D162" s="18" t="str">
        <x:v>RICARDO VARGAS LOPEZ</x:v>
      </x:c>
      <x:c r="E162" s="18" t="str">
        <x:v>BBVA MEXICO</x:v>
      </x:c>
      <x:c r="F162" s="17" t="str">
        <x:v>CTA 012180015008234593</x:v>
      </x:c>
      <x:c r="G162" s="19" t="str">
        <x:v>3107260 ricardo vargas lopez lte 11 mzn 11</x:v>
      </x:c>
      <x:c r="H162" s="20" t="str">
        <x:v>RASTREO MBAN01002608050052759621</x:v>
      </x:c>
      <x:c r="I162" s="19" t="str">
        <x:v>DEPOSITO SPEI | RICARDO VARGAS LOPEZ | BBVA MEXICO 012180015008234593 | 3107260 ricardo vargas lopez lte 11 mzn 11 | CLAVE DE RASTREO MBAN01002608050052759621</x:v>
      </x:c>
      <x:c r="J162" s="21"/>
      <x:c r="K162" s="21" t="n">
        <x:v>4243</x:v>
      </x:c>
      <x:c r="L162" s="21" t="n">
        <x:v>298074.92</x:v>
      </x:c>
      <x:c r="M162" s="22" t="n">
        <x:v>16</x:v>
      </x:c>
    </x:row>
    <x:row r="163" ht="30" customHeight="1">
      <x:c r="A163" s="16" t="n">
        <x:v>46239</x:v>
      </x:c>
      <x:c r="B163" s="17" t="str">
        <x:v>4091883680</x:v>
      </x:c>
      <x:c r="C163" s="18" t="str">
        <x:v>DEPOSITO SPEI</x:v>
      </x:c>
      <x:c r="D163" s="18" t="str">
        <x:v>RICARDO VARGAS LOPEZ</x:v>
      </x:c>
      <x:c r="E163" s="18" t="str">
        <x:v>BBVA MEXICO</x:v>
      </x:c>
      <x:c r="F163" s="17" t="str">
        <x:v>CTA 012180015008234593</x:v>
      </x:c>
      <x:c r="G163" s="19" t="str">
        <x:v>3107260 ricardo vargas lopez lte 10 mzn 12</x:v>
      </x:c>
      <x:c r="H163" s="20" t="str">
        <x:v>RASTREO MBAN01002608050052746172</x:v>
      </x:c>
      <x:c r="I163" s="19" t="str">
        <x:v>DEPOSITO SPEI | RICARDO VARGAS LOPEZ | BBVA MEXICO 012180015008234593 | 3107260 ricardo vargas lopez lte 10 mzn 12 | CLAVE DE RASTREO MBAN01002608050052746172</x:v>
      </x:c>
      <x:c r="J163" s="21"/>
      <x:c r="K163" s="21" t="n">
        <x:v>2944.44</x:v>
      </x:c>
      <x:c r="L163" s="21" t="n">
        <x:v>301019.36</x:v>
      </x:c>
      <x:c r="M163" s="22" t="n">
        <x:v>16</x:v>
      </x:c>
    </x:row>
    <x:row r="164" ht="30" customHeight="1">
      <x:c r="A164" s="16" t="n">
        <x:v>46239</x:v>
      </x:c>
      <x:c r="B164" s="17" t="str">
        <x:v>4091884859</x:v>
      </x:c>
      <x:c r="C164" s="18" t="str">
        <x:v>DEPOSITO SPEI</x:v>
      </x:c>
      <x:c r="D164" s="18" t="str">
        <x:v>RICARDO VARGAS LOPEZ</x:v>
      </x:c>
      <x:c r="E164" s="18" t="str">
        <x:v>BBVA MEXICO</x:v>
      </x:c>
      <x:c r="F164" s="17" t="str">
        <x:v>CTA 012180015008234593</x:v>
      </x:c>
      <x:c r="G164" s="19" t="str">
        <x:v>3107260 ricardo vargas lopez lte 1 mzn 11</x:v>
      </x:c>
      <x:c r="H164" s="20" t="str">
        <x:v>RASTREO MBAN01002608050052765152</x:v>
      </x:c>
      <x:c r="I164" s="19" t="str">
        <x:v>DEPOSITO SPEI | RICARDO VARGAS LOPEZ | BBVA MEXICO 012180015008234593 | 3107260 ricardo vargas lopez lte 1 mzn 11 | CLAVE DE RASTREO MBAN01002608050052765152</x:v>
      </x:c>
      <x:c r="J164" s="21"/>
      <x:c r="K164" s="21" t="n">
        <x:v>3821.27</x:v>
      </x:c>
      <x:c r="L164" s="21" t="n">
        <x:v>304840.63</x:v>
      </x:c>
      <x:c r="M164" s="22" t="n">
        <x:v>16</x:v>
      </x:c>
    </x:row>
    <x:row r="165" ht="30" customHeight="1">
      <x:c r="A165" s="16" t="n">
        <x:v>46239</x:v>
      </x:c>
      <x:c r="B165" s="17" t="str">
        <x:v>4091901629</x:v>
      </x:c>
      <x:c r="C165" s="18" t="str">
        <x:v>DEPOSITO SPEI</x:v>
      </x:c>
      <x:c r="D165" s="18" t="str">
        <x:v>CESARIO SEPULVEDA VEGA</x:v>
      </x:c>
      <x:c r="E165" s="18" t="str">
        <x:v>BBVA MEXICO</x:v>
      </x:c>
      <x:c r="F165" s="17" t="str">
        <x:v>CTA 012040015499692017</x:v>
      </x:c>
      <x:c r="G165" s="19" t="str">
        <x:v>2206260 Palo verde Mza 7 Lote 7 Cesario Sepulve</x:v>
      </x:c>
      <x:c r="H165" s="20" t="str">
        <x:v>RASTREO MBAN01002608050052828793</x:v>
      </x:c>
      <x:c r="I165" s="19" t="str">
        <x:v>DEPOSITO SPEI | CESARIO SEPULVEDA VEGA | BBVA MEXICO 012040015499692017 | 2206260 Palo verde Mza 7 Lote 7 Cesario Sepulve | CLAVE DE RASTREO MBAN01002608050052828793</x:v>
      </x:c>
      <x:c r="J165" s="21"/>
      <x:c r="K165" s="21" t="n">
        <x:v>1500</x:v>
      </x:c>
      <x:c r="L165" s="21" t="n">
        <x:v>306340.63</x:v>
      </x:c>
      <x:c r="M165" s="22" t="n">
        <x:v>17</x:v>
      </x:c>
    </x:row>
    <x:row r="166" ht="30" customHeight="1">
      <x:c r="A166" s="16" t="n">
        <x:v>46239</x:v>
      </x:c>
      <x:c r="B166" s="17" t="str">
        <x:v>4091903507</x:v>
      </x:c>
      <x:c r="C166" s="18" t="str">
        <x:v>DEPOSITO SPEI</x:v>
      </x:c>
      <x:c r="D166" s="18" t="str">
        <x:v>MARIA DEL ROSARIO IBARRA ESCOBAR</x:v>
      </x:c>
      <x:c r="E166" s="18" t="str">
        <x:v>Mercado Pago W</x:v>
      </x:c>
      <x:c r="F166" s="17" t="str">
        <x:v>CTA 722969010614837311</x:v>
      </x:c>
      <x:c r="G166" s="19" t="str">
        <x:v>3545820 Palo verde Mza7 Lote6 rosario ibarra</x:v>
      </x:c>
      <x:c r="H166" s="20" t="str">
        <x:v>RASTREO CPO172233545820</x:v>
      </x:c>
      <x:c r="I166" s="19" t="str">
        <x:v>DEPOSITO SPEI | MARIA DEL ROSARIO IBARRA ESCOBAR | Mercado Pago W 722969010614837311 | 3545820 Palo verde Mza7 Lote6 rosario ibarra | CLAVE DE RASTREO CPO172233545820</x:v>
      </x:c>
      <x:c r="J166" s="21"/>
      <x:c r="K166" s="21" t="n">
        <x:v>1500</x:v>
      </x:c>
      <x:c r="L166" s="21" t="n">
        <x:v>307840.63</x:v>
      </x:c>
      <x:c r="M166" s="22" t="n">
        <x:v>17</x:v>
      </x:c>
    </x:row>
    <x:row r="167" ht="30" customHeight="1">
      <x:c r="A167" s="16" t="n">
        <x:v>46239</x:v>
      </x:c>
      <x:c r="B167" s="17" t="str">
        <x:v>4091973038</x:v>
      </x:c>
      <x:c r="C167" s="18" t="str">
        <x:v>DEPOSITO SPEI</x:v>
      </x:c>
      <x:c r="D167" s="18" t="str">
        <x:v>LUZ MARIA HERRERA HERNANDEZ</x:v>
      </x:c>
      <x:c r="E167" s="18" t="str">
        <x:v>BANORTE</x:v>
      </x:c>
      <x:c r="F167" s="17" t="str">
        <x:v>CTA 072045012677663880</x:v>
      </x:c>
      <x:c r="G167" s="19" t="str">
        <x:v>260805 mza 21 lte 10 luz ma herrera hernandez</x:v>
      </x:c>
      <x:c r="H167" s="20" t="str">
        <x:v>RASTREO 38432P02202608055619128945</x:v>
      </x:c>
      <x:c r="I167" s="19" t="str">
        <x:v>DEPOSITO SPEI | LUZ MARIA HERRERA HERNANDEZ | BANORTE 072045012677663880 | 260805 mza 21 lte 10 luz ma herrera hernandez | CLAVE DE RASTREO 38432P02202608055619128945</x:v>
      </x:c>
      <x:c r="J167" s="21"/>
      <x:c r="K167" s="21" t="n">
        <x:v>1500</x:v>
      </x:c>
      <x:c r="L167" s="21" t="n">
        <x:v>309340.63</x:v>
      </x:c>
      <x:c r="M167" s="22" t="n">
        <x:v>17</x:v>
      </x:c>
    </x:row>
    <x:row r="168" ht="30" customHeight="1">
      <x:c r="A168" s="16" t="n">
        <x:v>46239</x:v>
      </x:c>
      <x:c r="B168" s="17" t="str">
        <x:v>4091974398</x:v>
      </x:c>
      <x:c r="C168" s="18" t="str">
        <x:v>DEPOSITO SPEI</x:v>
      </x:c>
      <x:c r="D168" s="18" t="str">
        <x:v>JOSE MARTINEZ OLACHEA</x:v>
      </x:c>
      <x:c r="E168" s="18" t="str">
        <x:v>BBVA MEXICO</x:v>
      </x:c>
      <x:c r="F168" s="17" t="str">
        <x:v>CTA 012040015180454247</x:v>
      </x:c>
      <x:c r="G168" s="19" t="str">
        <x:v>3107260 manzana 14 lote 3</x:v>
      </x:c>
      <x:c r="H168" s="20" t="str">
        <x:v>RASTREO MBAN01002608050053086927</x:v>
      </x:c>
      <x:c r="I168" s="19" t="str">
        <x:v>DEPOSITO SPEI | JOSE MARTINEZ OLACHEA | BBVA MEXICO 012040015180454247 | 3107260 manzana 14 lote 3 | CLAVE DE RASTREO MBAN01002608050053086927</x:v>
      </x:c>
      <x:c r="J168" s="21"/>
      <x:c r="K168" s="21" t="n">
        <x:v>1500</x:v>
      </x:c>
      <x:c r="L168" s="21" t="n">
        <x:v>310840.63</x:v>
      </x:c>
      <x:c r="M168" s="22" t="n">
        <x:v>17</x:v>
      </x:c>
    </x:row>
    <x:row r="169" ht="30" customHeight="1">
      <x:c r="A169" s="16" t="n">
        <x:v>46239</x:v>
      </x:c>
      <x:c r="B169" s="17" t="str">
        <x:v>4092013957</x:v>
      </x:c>
      <x:c r="C169" s="18" t="str">
        <x:v>DEPOSITO SPEI</x:v>
      </x:c>
      <x:c r="D169" s="18" t="str">
        <x:v>SONIA,LOPEZ/ALVAREZ</x:v>
      </x:c>
      <x:c r="E169" s="18" t="str">
        <x:v>BANAMEX</x:v>
      </x:c>
      <x:c r="F169" s="17" t="str">
        <x:v>CTA 002045904090074561</x:v>
      </x:c>
      <x:c r="G169" s="19" t="str">
        <x:v>50826 comida</x:v>
      </x:c>
      <x:c r="H169" s="20" t="str">
        <x:v>RASTREO 085904809614321762</x:v>
      </x:c>
      <x:c r="I169" s="19" t="str">
        <x:v>DEPOSITO SPEI | SONIA,LOPEZ/ALVAREZ | BANAMEX 002045904090074561 | 50826 comida | CLAVE DE RASTREO 085904809614321762</x:v>
      </x:c>
      <x:c r="J169" s="21"/>
      <x:c r="K169" s="21" t="n">
        <x:v>1500</x:v>
      </x:c>
      <x:c r="L169" s="21" t="n">
        <x:v>312340.63</x:v>
      </x:c>
      <x:c r="M169" s="22" t="n">
        <x:v>17</x:v>
      </x:c>
    </x:row>
    <x:row r="170" ht="30" customHeight="1">
      <x:c r="A170" s="16" t="n">
        <x:v>46239</x:v>
      </x:c>
      <x:c r="B170" s="17" t="str">
        <x:v>4092124884</x:v>
      </x:c>
      <x:c r="C170" s="18" t="str">
        <x:v>DEPOSITO SPEI</x:v>
      </x:c>
      <x:c r="D170" s="18" t="str">
        <x:v>NOLASCO ROJAS NATIVIDAD</x:v>
      </x:c>
      <x:c r="E170" s="18" t="str">
        <x:v>AZTECA</x:v>
      </x:c>
      <x:c r="F170" s="17" t="str">
        <x:v>CTA 127045013535190909</x:v>
      </x:c>
      <x:c r="G170" s="19" t="str">
        <x:v>593210 P15mza 7 Lt 16Palo verde Natividad N</x:v>
      </x:c>
      <x:c r="H170" s="20" t="str">
        <x:v>RASTREO 260805010561151194I</x:v>
      </x:c>
      <x:c r="I170" s="19" t="str">
        <x:v>DEPOSITO SPEI | NOLASCO ROJAS NATIVIDAD | AZTECA 127045013535190909 | 593210 P15mza 7 Lt 16Palo verde Natividad N | CLAVE DE RASTREO 260805010561151194I</x:v>
      </x:c>
      <x:c r="J170" s="21"/>
      <x:c r="K170" s="21" t="n">
        <x:v>1500</x:v>
      </x:c>
      <x:c r="L170" s="21" t="n">
        <x:v>313840.63</x:v>
      </x:c>
      <x:c r="M170" s="22" t="n">
        <x:v>17</x:v>
      </x:c>
    </x:row>
    <x:row r="171" ht="30" customHeight="1">
      <x:c r="A171" s="16" t="n">
        <x:v>46239</x:v>
      </x:c>
      <x:c r="B171" s="17" t="str">
        <x:v>4092126877</x:v>
      </x:c>
      <x:c r="C171" s="18" t="str">
        <x:v>DEPOSITO SPEI</x:v>
      </x:c>
      <x:c r="D171" s="18" t="str">
        <x:v>NOLASCO ROJAS NATIVIDAD</x:v>
      </x:c>
      <x:c r="E171" s="18" t="str">
        <x:v>AZTECA</x:v>
      </x:c>
      <x:c r="F171" s="17" t="str">
        <x:v>CTA 127045013535190909</x:v>
      </x:c>
      <x:c r="G171" s="19" t="str">
        <x:v>593210 P15mza 4 Lt 23Palo verde Natividad N</x:v>
      </x:c>
      <x:c r="H171" s="20" t="str">
        <x:v>RASTREO 260805010561175425I</x:v>
      </x:c>
      <x:c r="I171" s="19" t="str">
        <x:v>DEPOSITO SPEI | NOLASCO ROJAS NATIVIDAD | AZTECA 127045013535190909 | 593210 P15mza 4 Lt 23Palo verde Natividad N | CLAVE DE RASTREO 260805010561175425I</x:v>
      </x:c>
      <x:c r="J171" s="21"/>
      <x:c r="K171" s="21" t="n">
        <x:v>1500</x:v>
      </x:c>
      <x:c r="L171" s="21" t="n">
        <x:v>315340.63</x:v>
      </x:c>
      <x:c r="M171" s="22" t="n">
        <x:v>17</x:v>
      </x:c>
    </x:row>
    <x:row r="172" ht="30" customHeight="1">
      <x:c r="A172" s="16" t="n">
        <x:v>46239</x:v>
      </x:c>
      <x:c r="B172" s="17" t="str">
        <x:v>4092127895</x:v>
      </x:c>
      <x:c r="C172" s="18" t="str">
        <x:v>DEPOSITO SPEI</x:v>
      </x:c>
      <x:c r="D172" s="18" t="str">
        <x:v>NOLASCO ROJAS NATIVIDAD</x:v>
      </x:c>
      <x:c r="E172" s="18" t="str">
        <x:v>AZTECA</x:v>
      </x:c>
      <x:c r="F172" s="17" t="str">
        <x:v>CTA 127045013535190909</x:v>
      </x:c>
      <x:c r="G172" s="19" t="str">
        <x:v>593210 P15mza 4 Lt 24Palo verde Natividad N</x:v>
      </x:c>
      <x:c r="H172" s="20" t="str">
        <x:v>RASTREO 260805010561190335I</x:v>
      </x:c>
      <x:c r="I172" s="19" t="str">
        <x:v>DEPOSITO SPEI | NOLASCO ROJAS NATIVIDAD | AZTECA 127045013535190909 | 593210 P15mza 4 Lt 24Palo verde Natividad N | CLAVE DE RASTREO 260805010561190335I</x:v>
      </x:c>
      <x:c r="J172" s="21"/>
      <x:c r="K172" s="21" t="n">
        <x:v>1500</x:v>
      </x:c>
      <x:c r="L172" s="21" t="n">
        <x:v>316840.63</x:v>
      </x:c>
      <x:c r="M172" s="22" t="n">
        <x:v>17</x:v>
      </x:c>
    </x:row>
    <x:row r="173" ht="30" customHeight="1">
      <x:c r="A173" s="16" t="n">
        <x:v>46239</x:v>
      </x:c>
      <x:c r="B173" s="17" t="str">
        <x:v>4092146983</x:v>
      </x:c>
      <x:c r="C173" s="18" t="str">
        <x:v>DEPOSITO SPEI</x:v>
      </x:c>
      <x:c r="D173" s="18" t="str">
        <x:v>ZABDY LIZETH MEJIA SOLORZANO</x:v>
      </x:c>
      <x:c r="E173" s="18" t="str">
        <x:v>BBVA MEXICO</x:v>
      </x:c>
      <x:c r="F173" s="17" t="str">
        <x:v>CTA 012180015609298802</x:v>
      </x:c>
      <x:c r="G173" s="19" t="str">
        <x:v>3107260 PALO VERDE M13L2 ZAB</x:v>
      </x:c>
      <x:c r="H173" s="20" t="str">
        <x:v>RASTREO MBAN01002608050053810386</x:v>
      </x:c>
      <x:c r="I173" s="19" t="str">
        <x:v>DEPOSITO SPEI | ZABDY LIZETH MEJIA SOLORZANO | BBVA MEXICO 012180015609298802 | 3107260 PALO VERDE M13L2 ZAB | CLAVE DE RASTREO MBAN01002608050053810386</x:v>
      </x:c>
      <x:c r="J173" s="21"/>
      <x:c r="K173" s="21" t="n">
        <x:v>1500</x:v>
      </x:c>
      <x:c r="L173" s="21" t="n">
        <x:v>318340.63</x:v>
      </x:c>
      <x:c r="M173" s="22" t="n">
        <x:v>17</x:v>
      </x:c>
    </x:row>
    <x:row r="174" ht="30" customHeight="1">
      <x:c r="A174" s="16" t="n">
        <x:v>46239</x:v>
      </x:c>
      <x:c r="B174" s="17" t="str">
        <x:v>4092185608</x:v>
      </x:c>
      <x:c r="C174" s="18" t="str">
        <x:v>DEPOSITO SPEI</x:v>
      </x:c>
      <x:c r="D174" s="18" t="str">
        <x:v>JUAN CARLOS SANDOVAL VALDEZ</x:v>
      </x:c>
      <x:c r="E174" s="18" t="str">
        <x:v>BANORTE</x:v>
      </x:c>
      <x:c r="F174" s="17" t="str">
        <x:v>CTA 072040012364949139</x:v>
      </x:c>
      <x:c r="G174" s="19" t="str">
        <x:v>260805 anualidas mna28lte5 juan carlos sandoval</x:v>
      </x:c>
      <x:c r="H174" s="20" t="str">
        <x:v>RASTREO 38432P02202608055619739353</x:v>
      </x:c>
      <x:c r="I174" s="19" t="str">
        <x:v>DEPOSITO SPEI | JUAN CARLOS SANDOVAL VALDEZ | BANORTE 072040012364949139 | 260805 anualidas mna28lte5 juan carlos sandoval | CLAVE DE RASTREO 38432P02202608055619739353</x:v>
      </x:c>
      <x:c r="J174" s="21"/>
      <x:c r="K174" s="21" t="n">
        <x:v>10667</x:v>
      </x:c>
      <x:c r="L174" s="21" t="n">
        <x:v>329007.63</x:v>
      </x:c>
      <x:c r="M174" s="22" t="n">
        <x:v>17</x:v>
      </x:c>
    </x:row>
    <x:row r="175" ht="30" customHeight="1">
      <x:c r="A175" s="16" t="n">
        <x:v>46239</x:v>
      </x:c>
      <x:c r="B175" s="17" t="str">
        <x:v>4092286669</x:v>
      </x:c>
      <x:c r="C175" s="18" t="str">
        <x:v>DEPOSITO SPEI</x:v>
      </x:c>
      <x:c r="D175" s="18" t="str">
        <x:v>GLORIA ZAVALZA MONTEAGUDO</x:v>
      </x:c>
      <x:c r="E175" s="18" t="str">
        <x:v>SANTANDER</x:v>
      </x:c>
      <x:c r="F175" s="17" t="str">
        <x:v>CTA 014566605908668657</x:v>
      </x:c>
      <x:c r="G175" s="19" t="str">
        <x:v>7869402 AGOSTOLOTE27MNA18GLORIAZAVALZAMONTEAGUDO</x:v>
      </x:c>
      <x:c r="H175" s="20" t="str">
        <x:v>RASTREO 2026080540014BMOVP000454900490</x:v>
      </x:c>
      <x:c r="I175" s="19" t="str">
        <x:v>DEPOSITO SPEI | GLORIA ZAVALZA MONTEAGUDO | SANTANDER 014566605908668657 | 7869402 AGOSTOLOTE27MNA18GLORIAZAVALZAMONTEAGUDO | CLAVE DE RASTREO 2026080540014BMOVP000454900490</x:v>
      </x:c>
      <x:c r="J175" s="21"/>
      <x:c r="K175" s="21" t="n">
        <x:v>3583</x:v>
      </x:c>
      <x:c r="L175" s="21" t="n">
        <x:v>332590.63</x:v>
      </x:c>
      <x:c r="M175" s="22" t="n">
        <x:v>18</x:v>
      </x:c>
    </x:row>
    <x:row r="176" ht="30" customHeight="1">
      <x:c r="A176" s="16" t="n">
        <x:v>46239</x:v>
      </x:c>
      <x:c r="B176" s="17" t="str">
        <x:v>4092288816</x:v>
      </x:c>
      <x:c r="C176" s="18" t="str">
        <x:v>DEPOSITO SPEI</x:v>
      </x:c>
      <x:c r="D176" s="18" t="str">
        <x:v>BRICEYDA MARIA DIAZ DOMINGUEZ</x:v>
      </x:c>
      <x:c r="E176" s="18" t="str">
        <x:v>BANCOPPEL</x:v>
      </x:c>
      <x:c r="F176" s="17" t="str">
        <x:v>CTA 137040100690965100</x:v>
      </x:c>
      <x:c r="G176" s="19" t="str">
        <x:v>508260 PVD M21 L34</x:v>
      </x:c>
      <x:c r="H176" s="20" t="str">
        <x:v>RASTREO 50115100TRANSBPI84544855</x:v>
      </x:c>
      <x:c r="I176" s="19" t="str">
        <x:v>DEPOSITO SPEI | BRICEYDA MARIA DIAZ DOMINGUEZ | BANCOPPEL 137040100690965100 | 508260 PVD M21 L34 | CLAVE DE RASTREO 50115100TRANSBPI84544855</x:v>
      </x:c>
      <x:c r="J176" s="21"/>
      <x:c r="K176" s="21" t="n">
        <x:v>1500</x:v>
      </x:c>
      <x:c r="L176" s="21" t="n">
        <x:v>334090.63</x:v>
      </x:c>
      <x:c r="M176" s="22" t="n">
        <x:v>18</x:v>
      </x:c>
    </x:row>
    <x:row r="177" ht="30" customHeight="1">
      <x:c r="A177" s="16" t="n">
        <x:v>46239</x:v>
      </x:c>
      <x:c r="B177" s="17" t="str">
        <x:v>4092314202</x:v>
      </x:c>
      <x:c r="C177" s="18" t="str">
        <x:v>DEPOSITO SPEI</x:v>
      </x:c>
      <x:c r="D177" s="18" t="str">
        <x:v>MARIA DE LOURDES BARRIOS OCEGUERA</x:v>
      </x:c>
      <x:c r="E177" s="18" t="str">
        <x:v>AZTECA</x:v>
      </x:c>
      <x:c r="F177" s="17" t="str">
        <x:v>CTA 127041013360202066</x:v>
      </x:c>
      <x:c r="G177" s="19" t="str">
        <x:v>1059321 terreno m24 l39</x:v>
      </x:c>
      <x:c r="H177" s="20" t="str">
        <x:v>RASTREO 2608050107897156771H</x:v>
      </x:c>
      <x:c r="I177" s="19" t="str">
        <x:v>DEPOSITO SPEI | MARIA DE LOURDES BARRIOS OCEGUERA | AZTECA 127041013360202066 | 1059321 terreno m24 l39 | CLAVE DE RASTREO 2608050107897156771H</x:v>
      </x:c>
      <x:c r="J177" s="21"/>
      <x:c r="K177" s="21" t="n">
        <x:v>3044</x:v>
      </x:c>
      <x:c r="L177" s="21" t="n">
        <x:v>337134.63</x:v>
      </x:c>
      <x:c r="M177" s="22" t="n">
        <x:v>18</x:v>
      </x:c>
    </x:row>
    <x:row r="178" ht="30" customHeight="1">
      <x:c r="A178" s="16" t="n">
        <x:v>46239</x:v>
      </x:c>
      <x:c r="B178" s="17" t="str">
        <x:v>4092314570</x:v>
      </x:c>
      <x:c r="C178" s="18" t="str">
        <x:v>DEPOSITO SPEI</x:v>
      </x:c>
      <x:c r="D178" s="18" t="str">
        <x:v>NORMA ELISA SAAVEDRA RUAN</x:v>
      </x:c>
      <x:c r="E178" s="18" t="str">
        <x:v>SANTANDER</x:v>
      </x:c>
      <x:c r="F178" s="17" t="str">
        <x:v>CTA 014040566007288920</x:v>
      </x:c>
      <x:c r="G178" s="19" t="str">
        <x:v>1234567 CESAR A ROCHA DGZ MNZA 4 LOTE 21</x:v>
      </x:c>
      <x:c r="H178" s="20" t="str">
        <x:v>RASTREO 2026080540014BMOVP000455803990</x:v>
      </x:c>
      <x:c r="I178" s="19" t="str">
        <x:v>DEPOSITO SPEI | NORMA ELISA SAAVEDRA RUAN | SANTANDER 014040566007288920 | 1234567 CESAR A ROCHA DGZ MNZA 4 LOTE 21 | CLAVE DE RASTREO 2026080540014BMOVP000455803990</x:v>
      </x:c>
      <x:c r="J178" s="21"/>
      <x:c r="K178" s="21" t="n">
        <x:v>1500</x:v>
      </x:c>
      <x:c r="L178" s="21" t="n">
        <x:v>338634.63</x:v>
      </x:c>
      <x:c r="M178" s="22" t="n">
        <x:v>18</x:v>
      </x:c>
    </x:row>
    <x:row r="179" ht="30" customHeight="1">
      <x:c r="A179" s="16" t="n">
        <x:v>46239</x:v>
      </x:c>
      <x:c r="B179" s="17" t="str">
        <x:v>4092315682</x:v>
      </x:c>
      <x:c r="C179" s="18" t="str">
        <x:v>DEPOSITO SPEI</x:v>
      </x:c>
      <x:c r="D179" s="18" t="str">
        <x:v>NORMA ELISA SAAVEDRA RUAN</x:v>
      </x:c>
      <x:c r="E179" s="18" t="str">
        <x:v>SANTANDER</x:v>
      </x:c>
      <x:c r="F179" s="17" t="str">
        <x:v>CTA 014040566007288920</x:v>
      </x:c>
      <x:c r="G179" s="19" t="str">
        <x:v>1234567 NORMA E SAAVEDRA RUAN MANZA 4 LOTE 22</x:v>
      </x:c>
      <x:c r="H179" s="20" t="str">
        <x:v>RASTREO 2026080540014BMOVP000455833820</x:v>
      </x:c>
      <x:c r="I179" s="19" t="str">
        <x:v>DEPOSITO SPEI | NORMA ELISA SAAVEDRA RUAN | SANTANDER 014040566007288920 | 1234567 NORMA E SAAVEDRA RUAN MANZA 4 LOTE 22 | CLAVE DE RASTREO 2026080540014BMOVP000455833820</x:v>
      </x:c>
      <x:c r="J179" s="21"/>
      <x:c r="K179" s="21" t="n">
        <x:v>1500</x:v>
      </x:c>
      <x:c r="L179" s="21" t="n">
        <x:v>340134.63</x:v>
      </x:c>
      <x:c r="M179" s="22" t="n">
        <x:v>18</x:v>
      </x:c>
    </x:row>
    <x:row r="180" ht="30" customHeight="1">
      <x:c r="A180" s="16" t="n">
        <x:v>46239</x:v>
      </x:c>
      <x:c r="B180" s="17" t="str">
        <x:v>4092400237</x:v>
      </x:c>
      <x:c r="C180" s="18" t="str">
        <x:v>DEPOSITO SPEI</x:v>
      </x:c>
      <x:c r="D180" s="18" t="str">
        <x:v>ISUI MARGARITA SANCHEZ MORALES</x:v>
      </x:c>
      <x:c r="E180" s="18" t="str">
        <x:v>BANCOPPEL</x:v>
      </x:c>
      <x:c r="F180" s="17" t="str">
        <x:v>CTA 137061105194971616</x:v>
      </x:c>
      <x:c r="G180" s="19" t="str">
        <x:v>508260 Transf. a CARLOS AZAEL ARAUZA</x:v>
      </x:c>
      <x:c r="H180" s="20" t="str">
        <x:v>RASTREO 50111616TRANSBPI86238240</x:v>
      </x:c>
      <x:c r="I180" s="19" t="str">
        <x:v>DEPOSITO SPEI | ISUI MARGARITA SANCHEZ MORALES | BANCOPPEL 137061105194971616 | 508260 Transf. a CARLOS AZAEL ARAUZA | CLAVE DE RASTREO 50111616TRANSBPI86238240</x:v>
      </x:c>
      <x:c r="J180" s="21"/>
      <x:c r="K180" s="21" t="n">
        <x:v>2388</x:v>
      </x:c>
      <x:c r="L180" s="21" t="n">
        <x:v>342522.63</x:v>
      </x:c>
      <x:c r="M180" s="22" t="n">
        <x:v>18</x:v>
      </x:c>
    </x:row>
    <x:row r="181" ht="30" customHeight="1">
      <x:c r="A181" s="16" t="n">
        <x:v>46239</x:v>
      </x:c>
      <x:c r="B181" s="17" t="str">
        <x:v>4092400844</x:v>
      </x:c>
      <x:c r="C181" s="18" t="str">
        <x:v>DEPOSITO SPEI</x:v>
      </x:c>
      <x:c r="D181" s="18" t="str">
        <x:v>ISUI MARGARITA SANCHEZ MORALES</x:v>
      </x:c>
      <x:c r="E181" s="18" t="str">
        <x:v>BANCOPPEL</x:v>
      </x:c>
      <x:c r="F181" s="17" t="str">
        <x:v>CTA 137061105194971616</x:v>
      </x:c>
      <x:c r="G181" s="19" t="str">
        <x:v>508261 Transf. a CARLOS AZAEL ARAUZA</x:v>
      </x:c>
      <x:c r="H181" s="20" t="str">
        <x:v>RASTREO 50111616TRANSBPI86247750</x:v>
      </x:c>
      <x:c r="I181" s="19" t="str">
        <x:v>DEPOSITO SPEI | ISUI MARGARITA SANCHEZ MORALES | BANCOPPEL 137061105194971616 | 508261 Transf. a CARLOS AZAEL ARAUZA | CLAVE DE RASTREO 50111616TRANSBPI86247750</x:v>
      </x:c>
      <x:c r="J181" s="21"/>
      <x:c r="K181" s="21" t="n">
        <x:v>2388</x:v>
      </x:c>
      <x:c r="L181" s="21" t="n">
        <x:v>344910.63</x:v>
      </x:c>
      <x:c r="M181" s="22" t="n">
        <x:v>18</x:v>
      </x:c>
    </x:row>
    <x:row r="182" ht="30" customHeight="1">
      <x:c r="A182" s="16" t="n">
        <x:v>46239</x:v>
      </x:c>
      <x:c r="B182" s="17" t="str">
        <x:v>4092437607</x:v>
      </x:c>
      <x:c r="C182" s="18" t="str">
        <x:v>DEPOSITO SPEI</x:v>
      </x:c>
      <x:c r="D182" s="18" t="str">
        <x:v>JESUS ROBERTO,GARZON/HERNANDEZ</x:v>
      </x:c>
      <x:c r="E182" s="18" t="str">
        <x:v>BANAMEX</x:v>
      </x:c>
      <x:c r="F182" s="17" t="str">
        <x:v>CTA 002040905221626892</x:v>
      </x:c>
      <x:c r="G182" s="19" t="str">
        <x:v>50826 M8 L5 Roberto Garzon</x:v>
      </x:c>
      <x:c r="H182" s="20" t="str">
        <x:v>RASTREO 085907675364321768</x:v>
      </x:c>
      <x:c r="I182" s="19" t="str">
        <x:v>DEPOSITO SPEI | JESUS ROBERTO,GARZON/HERNANDEZ | BANAMEX 002040905221626892 | 50826 M8 L5 Roberto Garzon | CLAVE DE RASTREO 085907675364321768</x:v>
      </x:c>
      <x:c r="J182" s="21"/>
      <x:c r="K182" s="21" t="n">
        <x:v>1500</x:v>
      </x:c>
      <x:c r="L182" s="21" t="n">
        <x:v>346410.63</x:v>
      </x:c>
      <x:c r="M182" s="22" t="n">
        <x:v>18</x:v>
      </x:c>
    </x:row>
    <x:row r="183" ht="30" customHeight="1">
      <x:c r="A183" s="16" t="n">
        <x:v>46239</x:v>
      </x:c>
      <x:c r="B183" s="17" t="str">
        <x:v>4092490498</x:v>
      </x:c>
      <x:c r="C183" s="18" t="str">
        <x:v>DEPOSITO SPEI</x:v>
      </x:c>
      <x:c r="D183" s="18" t="str">
        <x:v>ELVIS FABIAN LOPEZ CRUZ</x:v>
      </x:c>
      <x:c r="E183" s="18" t="str">
        <x:v>BBVA MEXICO</x:v>
      </x:c>
      <x:c r="F183" s="17" t="str">
        <x:v>CTA 012180015514849731</x:v>
      </x:c>
      <x:c r="G183" s="19" t="str">
        <x:v>2206260 Elvis Lopez M28L4</x:v>
      </x:c>
      <x:c r="H183" s="20" t="str">
        <x:v>RASTREO MBAN01002608060055727454</x:v>
      </x:c>
      <x:c r="I183" s="19" t="str">
        <x:v>DEPOSITO SPEI | ELVIS FABIAN LOPEZ CRUZ | BBVA MEXICO 012180015514849731 | 2206260 Elvis Lopez M28L4 | CLAVE DE RASTREO MBAN01002608060055727454</x:v>
      </x:c>
      <x:c r="J183" s="21"/>
      <x:c r="K183" s="21" t="n">
        <x:v>1500</x:v>
      </x:c>
      <x:c r="L183" s="21" t="n">
        <x:v>347910.63</x:v>
      </x:c>
      <x:c r="M183" s="22" t="n">
        <x:v>18</x:v>
      </x:c>
    </x:row>
    <x:row r="184" ht="30" customHeight="1">
      <x:c r="A184" s="16" t="n">
        <x:v>46239</x:v>
      </x:c>
      <x:c r="B184" s="17" t="str">
        <x:v>4092508802</x:v>
      </x:c>
      <x:c r="C184" s="18" t="str">
        <x:v>DEPOSITO SPEI</x:v>
      </x:c>
      <x:c r="D184" s="18" t="str">
        <x:v>SERGIO EDUARDO DUENAS BAUTISTA</x:v>
      </x:c>
      <x:c r="E184" s="18" t="str">
        <x:v>NUBANK</x:v>
      </x:c>
      <x:c r="F184" s="17" t="str">
        <x:v>CTA 638180000126774890</x:v>
      </x:c>
      <x:c r="G184" s="19" t="str">
        <x:v>50826 PVD M22L23 Eduardo Dueñas M15 de 72</x:v>
      </x:c>
      <x:c r="H184" s="20" t="str">
        <x:v>RASTREO NU3AEGANMTNP8HHAGMKKUU8K88BO</x:v>
      </x:c>
      <x:c r="I184" s="19" t="str">
        <x:v>DEPOSITO SPEI | SERGIO EDUARDO DUENAS BAUTISTA | NUBANK 638180000126774890 | 50826 PVD M22L23 Eduardo Dueñas M15 de 72 | CLAVE DE RASTREO NU3AEGANMTNP8HHAGMKKUU8K88BO</x:v>
      </x:c>
      <x:c r="J184" s="21"/>
      <x:c r="K184" s="21" t="n">
        <x:v>1500</x:v>
      </x:c>
      <x:c r="L184" s="21" t="n">
        <x:v>349410.63</x:v>
      </x:c>
      <x:c r="M184" s="22" t="n">
        <x:v>18</x:v>
      </x:c>
    </x:row>
    <x:row r="185" ht="30" customHeight="1">
      <x:c r="A185" s="16" t="n">
        <x:v>46239</x:v>
      </x:c>
      <x:c r="B185" s="17" t="str">
        <x:v>4092516124</x:v>
      </x:c>
      <x:c r="C185" s="18" t="str">
        <x:v>DEPOSITO SPEI</x:v>
      </x:c>
      <x:c r="D185" s="18" t="str">
        <x:v>GABRIELA RODRIGUEZ SANTILLAN</x:v>
      </x:c>
      <x:c r="E185" s="18" t="str">
        <x:v>BBVA MEXICO</x:v>
      </x:c>
      <x:c r="F185" s="17" t="str">
        <x:v>CTA 012040015594128321</x:v>
      </x:c>
      <x:c r="G185" s="19" t="str">
        <x:v>2206260 M26L50 MES 9 OSCAR F</x:v>
      </x:c>
      <x:c r="H185" s="20" t="str">
        <x:v>RASTREO MBAN01002608060055889969</x:v>
      </x:c>
      <x:c r="I185" s="19" t="str">
        <x:v>DEPOSITO SPEI | GABRIELA RODRIGUEZ SANTILLAN | BBVA MEXICO 012040015594128321 | 2206260 M26L50 MES 9 OSCAR F | CLAVE DE RASTREO MBAN01002608060055889969</x:v>
      </x:c>
      <x:c r="J185" s="21"/>
      <x:c r="K185" s="21" t="n">
        <x:v>2000</x:v>
      </x:c>
      <x:c r="L185" s="21" t="n">
        <x:v>351410.63</x:v>
      </x:c>
      <x:c r="M185" s="22" t="n">
        <x:v>19</x:v>
      </x:c>
    </x:row>
    <x:row r="186" ht="30" customHeight="1">
      <x:c r="A186" s="16" t="n">
        <x:v>46239</x:v>
      </x:c>
      <x:c r="B186" s="17" t="str">
        <x:v>4092532129</x:v>
      </x:c>
      <x:c r="C186" s="18" t="str">
        <x:v>DEPOSITO SPEI</x:v>
      </x:c>
      <x:c r="D186" s="18" t="str">
        <x:v>AMERICA GONZALEZ MENDEZ</x:v>
      </x:c>
      <x:c r="E186" s="18" t="str">
        <x:v>BANCOPPEL</x:v>
      </x:c>
      <x:c r="F186" s="17" t="str">
        <x:v>CTA 137042100581760580</x:v>
      </x:c>
      <x:c r="G186" s="19" t="str">
        <x:v>508260 america gonzales mendez lote 27mzna19</x:v>
      </x:c>
      <x:c r="H186" s="20" t="str">
        <x:v>RASTREO 50110580TRANSBPI88328607</x:v>
      </x:c>
      <x:c r="I186" s="19" t="str">
        <x:v>DEPOSITO SPEI | AMERICA GONZALEZ MENDEZ | BANCOPPEL 137042100581760580 | 508260 america gonzales mendez lote 27mzna19 | CLAVE DE RASTREO 50110580TRANSBPI88328607</x:v>
      </x:c>
      <x:c r="J186" s="21"/>
      <x:c r="K186" s="21" t="n">
        <x:v>2389</x:v>
      </x:c>
      <x:c r="L186" s="21" t="n">
        <x:v>353799.63</x:v>
      </x:c>
      <x:c r="M186" s="22" t="n">
        <x:v>19</x:v>
      </x:c>
    </x:row>
    <x:row r="187" ht="30" customHeight="1">
      <x:c r="A187" s="16" t="n">
        <x:v>46240</x:v>
      </x:c>
      <x:c r="B187" s="17" t="str">
        <x:v>4092619852</x:v>
      </x:c>
      <x:c r="C187" s="18" t="str">
        <x:v>LACASA DEL CARWASH LPZ MX</x:v>
      </x:c>
      <x:c r="D187" s="18" t="str"/>
      <x:c r="E187" s="18" t="str"/>
      <x:c r="F187" s="17" t="str"/>
      <x:c r="G187" s="19" t="str"/>
      <x:c r="H187" s="20" t="str"/>
      <x:c r="I187" s="19" t="str">
        <x:v>LACASA DEL CARWASH LPZ MX</x:v>
      </x:c>
      <x:c r="J187" s="21" t="n">
        <x:v>715</x:v>
      </x:c>
      <x:c r="K187" s="21"/>
      <x:c r="L187" s="21" t="n">
        <x:v>353084.63</x:v>
      </x:c>
      <x:c r="M187" s="22" t="n">
        <x:v>19</x:v>
      </x:c>
    </x:row>
    <x:row r="188" ht="30" customHeight="1">
      <x:c r="A188" s="16" t="n">
        <x:v>46240</x:v>
      </x:c>
      <x:c r="B188" s="17" t="str">
        <x:v>4092619871</x:v>
      </x:c>
      <x:c r="C188" s="18" t="str">
        <x:v>GAS AUTOSERVI PINO PAL MX</x:v>
      </x:c>
      <x:c r="D188" s="18" t="str"/>
      <x:c r="E188" s="18" t="str"/>
      <x:c r="F188" s="17" t="str"/>
      <x:c r="G188" s="19" t="str"/>
      <x:c r="H188" s="20" t="str"/>
      <x:c r="I188" s="19" t="str">
        <x:v>GAS AUTOSERVI PINO PAL MX</x:v>
      </x:c>
      <x:c r="J188" s="21" t="n">
        <x:v>500</x:v>
      </x:c>
      <x:c r="K188" s="21"/>
      <x:c r="L188" s="21" t="n">
        <x:v>352584.63</x:v>
      </x:c>
      <x:c r="M188" s="22" t="n">
        <x:v>19</x:v>
      </x:c>
    </x:row>
    <x:row r="189" ht="30" customHeight="1">
      <x:c r="A189" s="16" t="n">
        <x:v>46240</x:v>
      </x:c>
      <x:c r="B189" s="17" t="str">
        <x:v>4092945998</x:v>
      </x:c>
      <x:c r="C189" s="18" t="str">
        <x:v>DEPOSITO SPEI</x:v>
      </x:c>
      <x:c r="D189" s="18" t="str">
        <x:v>MC GREGOR MARTINEZ LUIS ANGEL</x:v>
      </x:c>
      <x:c r="E189" s="18" t="str">
        <x:v>AZTECA</x:v>
      </x:c>
      <x:c r="F189" s="17" t="str">
        <x:v>CTA 127694001551107672</x:v>
      </x:c>
      <x:c r="G189" s="19" t="str">
        <x:v>593210 M17 L 23 M17 L 12 M21 L9</x:v>
      </x:c>
      <x:c r="H189" s="20" t="str">
        <x:v>RASTREO 260806010567419904I</x:v>
      </x:c>
      <x:c r="I189" s="19" t="str">
        <x:v>DEPOSITO SPEI | MC GREGOR MARTINEZ LUIS ANGEL | AZTECA 127694001551107672 | 593210 M17 L 23 M17 L 12 M21 L9 | CLAVE DE RASTREO 260806010567419904I</x:v>
      </x:c>
      <x:c r="J189" s="21"/>
      <x:c r="K189" s="21" t="n">
        <x:v>4500</x:v>
      </x:c>
      <x:c r="L189" s="21" t="n">
        <x:v>357084.63</x:v>
      </x:c>
      <x:c r="M189" s="22" t="n">
        <x:v>19</x:v>
      </x:c>
    </x:row>
    <x:row r="190" ht="30" customHeight="1">
      <x:c r="A190" s="16" t="n">
        <x:v>46240</x:v>
      </x:c>
      <x:c r="B190" s="17" t="str">
        <x:v>4093135568</x:v>
      </x:c>
      <x:c r="C190" s="18" t="str">
        <x:v>DEPOSITO SPEI</x:v>
      </x:c>
      <x:c r="D190" s="18" t="str">
        <x:v>MARIA CELINA MEZA MORENO</x:v>
      </x:c>
      <x:c r="E190" s="18" t="str">
        <x:v>SANTANDER</x:v>
      </x:c>
      <x:c r="F190" s="17" t="str">
        <x:v>CTA 014041566006914456</x:v>
      </x:c>
      <x:c r="G190" s="19" t="str">
        <x:v>968915 PVD M7 L27</x:v>
      </x:c>
      <x:c r="H190" s="20" t="str">
        <x:v>RASTREO 2026080640014BMOVP000472631780</x:v>
      </x:c>
      <x:c r="I190" s="19" t="str">
        <x:v>DEPOSITO SPEI | MARIA CELINA MEZA MORENO | SANTANDER 014041566006914456 | 968915 PVD M7 L27 | CLAVE DE RASTREO 2026080640014BMOVP000472631780</x:v>
      </x:c>
      <x:c r="J190" s="21"/>
      <x:c r="K190" s="21" t="n">
        <x:v>1500</x:v>
      </x:c>
      <x:c r="L190" s="21" t="n">
        <x:v>358584.63</x:v>
      </x:c>
      <x:c r="M190" s="22" t="n">
        <x:v>19</x:v>
      </x:c>
    </x:row>
    <x:row r="191" ht="30" customHeight="1">
      <x:c r="A191" s="16" t="n">
        <x:v>46240</x:v>
      </x:c>
      <x:c r="B191" s="17" t="str">
        <x:v>4093138386</x:v>
      </x:c>
      <x:c r="C191" s="18" t="str">
        <x:v>DEPOSITO SPEI</x:v>
      </x:c>
      <x:c r="D191" s="18" t="str">
        <x:v>MARIA CELINA MEZA MORENO</x:v>
      </x:c>
      <x:c r="E191" s="18" t="str">
        <x:v>SANTANDER</x:v>
      </x:c>
      <x:c r="F191" s="17" t="str">
        <x:v>CTA 014041566006914456</x:v>
      </x:c>
      <x:c r="G191" s="19" t="str">
        <x:v>4123407 PVD M7L26</x:v>
      </x:c>
      <x:c r="H191" s="20" t="str">
        <x:v>RASTREO 2026080640014BMOVP000472717850</x:v>
      </x:c>
      <x:c r="I191" s="19" t="str">
        <x:v>DEPOSITO SPEI | MARIA CELINA MEZA MORENO | SANTANDER 014041566006914456 | 4123407 PVD M7L26 | CLAVE DE RASTREO 2026080640014BMOVP000472717850</x:v>
      </x:c>
      <x:c r="J191" s="21"/>
      <x:c r="K191" s="21" t="n">
        <x:v>1500</x:v>
      </x:c>
      <x:c r="L191" s="21" t="n">
        <x:v>360084.63</x:v>
      </x:c>
      <x:c r="M191" s="22" t="n">
        <x:v>19</x:v>
      </x:c>
    </x:row>
    <x:row r="192" ht="30" customHeight="1">
      <x:c r="A192" s="16" t="n">
        <x:v>46240</x:v>
      </x:c>
      <x:c r="B192" s="17" t="str">
        <x:v>4093212898</x:v>
      </x:c>
      <x:c r="C192" s="18" t="str">
        <x:v>DEPOSITO SPEI</x:v>
      </x:c>
      <x:c r="D192" s="18" t="str">
        <x:v>FRANCISCO ALONSO COTA IBANEZ</x:v>
      </x:c>
      <x:c r="E192" s="18" t="str">
        <x:v>Mercado Pago W</x:v>
      </x:c>
      <x:c r="F192" s="17" t="str">
        <x:v>CTA 722969010968780091</x:v>
      </x:c>
      <x:c r="G192" s="19" t="str">
        <x:v>7909862 Pvm18L20</x:v>
      </x:c>
      <x:c r="H192" s="20" t="str">
        <x:v>RASTREO CPO172387909862</x:v>
      </x:c>
      <x:c r="I192" s="19" t="str">
        <x:v>DEPOSITO SPEI | FRANCISCO ALONSO COTA IBANEZ | Mercado Pago W 722969010968780091 | 7909862 Pvm18L20 | CLAVE DE RASTREO CPO172387909862</x:v>
      </x:c>
      <x:c r="J192" s="21"/>
      <x:c r="K192" s="21" t="n">
        <x:v>4000</x:v>
      </x:c>
      <x:c r="L192" s="21" t="n">
        <x:v>364084.63</x:v>
      </x:c>
      <x:c r="M192" s="22" t="n">
        <x:v>19</x:v>
      </x:c>
    </x:row>
    <x:row r="193" ht="30" customHeight="1">
      <x:c r="A193" s="16" t="n">
        <x:v>46240</x:v>
      </x:c>
      <x:c r="B193" s="17" t="str">
        <x:v>8202629026</x:v>
      </x:c>
      <x:c r="C193" s="18" t="str">
        <x:v>TRANSFERENCIA SPEI</x:v>
      </x:c>
      <x:c r="D193" s="18" t="str">
        <x:v>Ramses Federico Molina</x:v>
      </x:c>
      <x:c r="E193" s="18" t="str">
        <x:v>BANCOPPEL</x:v>
      </x:c>
      <x:c r="F193" s="17" t="str">
        <x:v>CTA 4169161466722401</x:v>
      </x:c>
      <x:c r="G193" s="19" t="str">
        <x:v>20260806 Pago | 036NAPP06082026290261512 RFC NO DISPONIBLE</x:v>
      </x:c>
      <x:c r="H193" s="20" t="str"/>
      <x:c r="I193" s="19" t="str">
        <x:v>TRANSFERENCIA SPEI | Ramses Federico Molina | BANCOPPEL 4169161466722401 | 20260806 Pago | 036NAPP06082026290261512 RFC NO DISPONIBLE</x:v>
      </x:c>
      <x:c r="J193" s="21" t="n">
        <x:v>1000</x:v>
      </x:c>
      <x:c r="K193" s="21"/>
      <x:c r="L193" s="21" t="n">
        <x:v>363084.63</x:v>
      </x:c>
      <x:c r="M193" s="22" t="n">
        <x:v>19</x:v>
      </x:c>
    </x:row>
    <x:row r="194" ht="30" customHeight="1">
      <x:c r="A194" s="16" t="n">
        <x:v>46240</x:v>
      </x:c>
      <x:c r="B194" s="17" t="str">
        <x:v>4093350413</x:v>
      </x:c>
      <x:c r="C194" s="18" t="str">
        <x:v>DEPOSITO SPEI</x:v>
      </x:c>
      <x:c r="D194" s="18" t="str">
        <x:v>GERARDO ARMANDO GERALDO LUCERO</x:v>
      </x:c>
      <x:c r="E194" s="18" t="str">
        <x:v>BBVA MEXICO</x:v>
      </x:c>
      <x:c r="F194" s="17" t="str">
        <x:v>CTA 012180015327351665</x:v>
      </x:c>
      <x:c r="G194" s="19" t="str">
        <x:v>3107260 mensualidad</x:v>
      </x:c>
      <x:c r="H194" s="20" t="str">
        <x:v>RASTREO MBAN01002608060057939011</x:v>
      </x:c>
      <x:c r="I194" s="19" t="str">
        <x:v>DEPOSITO SPEI | GERARDO ARMANDO GERALDO LUCERO | BBVA MEXICO 012180015327351665 | 3107260 mensualidad | CLAVE DE RASTREO MBAN01002608060057939011</x:v>
      </x:c>
      <x:c r="J194" s="21"/>
      <x:c r="K194" s="21" t="n">
        <x:v>3000</x:v>
      </x:c>
      <x:c r="L194" s="21" t="n">
        <x:v>366084.63</x:v>
      </x:c>
      <x:c r="M194" s="22" t="n">
        <x:v>19</x:v>
      </x:c>
    </x:row>
    <x:row r="195" ht="30" customHeight="1">
      <x:c r="A195" s="16" t="n">
        <x:v>46240</x:v>
      </x:c>
      <x:c r="B195" s="17" t="str">
        <x:v>4093472824</x:v>
      </x:c>
      <x:c r="C195" s="18" t="str">
        <x:v>GAS LOS VENADOS J MUJI MX</x:v>
      </x:c>
      <x:c r="D195" s="18" t="str"/>
      <x:c r="E195" s="18" t="str"/>
      <x:c r="F195" s="17" t="str"/>
      <x:c r="G195" s="19" t="str"/>
      <x:c r="H195" s="20" t="str"/>
      <x:c r="I195" s="19" t="str">
        <x:v>GAS LOS VENADOS J MUJI MX</x:v>
      </x:c>
      <x:c r="J195" s="21" t="n">
        <x:v>1000</x:v>
      </x:c>
      <x:c r="K195" s="21"/>
      <x:c r="L195" s="21" t="n">
        <x:v>365084.63</x:v>
      </x:c>
      <x:c r="M195" s="22" t="n">
        <x:v>19</x:v>
      </x:c>
    </x:row>
    <x:row r="196" ht="30" customHeight="1">
      <x:c r="A196" s="16" t="n">
        <x:v>46240</x:v>
      </x:c>
      <x:c r="B196" s="17" t="str">
        <x:v>4093691112</x:v>
      </x:c>
      <x:c r="C196" s="18" t="str">
        <x:v>DEPOSITO SPEI</x:v>
      </x:c>
      <x:c r="D196" s="18" t="str">
        <x:v>MARIELENA ARIZOCA RAMIREZ</x:v>
      </x:c>
      <x:c r="E196" s="18" t="str">
        <x:v>BANCOPPEL</x:v>
      </x:c>
      <x:c r="F196" s="17" t="str">
        <x:v>CTA 137040100839748133</x:v>
      </x:c>
      <x:c r="G196" s="19" t="str">
        <x:v>608260 Transf. a CARLOS AZAEL ARAUZA ROSAS</x:v>
      </x:c>
      <x:c r="H196" s="20" t="str">
        <x:v>RASTREO 50118133TRANSBPI95882697</x:v>
      </x:c>
      <x:c r="I196" s="19" t="str">
        <x:v>DEPOSITO SPEI | MARIELENA ARIZOCA RAMIREZ | BANCOPPEL 137040100839748133 | 608260 Transf. a CARLOS AZAEL ARAUZA ROSAS | CLAVE DE RASTREO 50118133TRANSBPI95882697</x:v>
      </x:c>
      <x:c r="J196" s="21"/>
      <x:c r="K196" s="21" t="n">
        <x:v>1500</x:v>
      </x:c>
      <x:c r="L196" s="21" t="n">
        <x:v>366584.63</x:v>
      </x:c>
      <x:c r="M196" s="22" t="n">
        <x:v>19</x:v>
      </x:c>
    </x:row>
    <x:row r="197" ht="30" customHeight="1">
      <x:c r="A197" s="16" t="n">
        <x:v>46240</x:v>
      </x:c>
      <x:c r="B197" s="17" t="str">
        <x:v>4093706373</x:v>
      </x:c>
      <x:c r="C197" s="18" t="str">
        <x:v>DEPOSITO SPEI</x:v>
      </x:c>
      <x:c r="D197" s="18" t="str">
        <x:v>MAURO MAYO MARTINEZ</x:v>
      </x:c>
      <x:c r="E197" s="18" t="str">
        <x:v>SANTANDER</x:v>
      </x:c>
      <x:c r="F197" s="17" t="str">
        <x:v>CTA 014040569024593611</x:v>
      </x:c>
      <x:c r="G197" s="19" t="str">
        <x:v>8293919 ANUALIDAD LOTE 24 MANZANA 5 MAURO MAYO</x:v>
      </x:c>
      <x:c r="H197" s="20" t="str">
        <x:v>RASTREO 2026080640014BMOVP000409817480</x:v>
      </x:c>
      <x:c r="I197" s="19" t="str">
        <x:v>DEPOSITO SPEI | MAURO MAYO MARTINEZ | SANTANDER 014040569024593611 | 8293919 ANUALIDAD LOTE 24 MANZANA 5 MAURO MAYO | CLAVE DE RASTREO 2026080640014BMOVP000409817480</x:v>
      </x:c>
      <x:c r="J197" s="21"/>
      <x:c r="K197" s="21" t="n">
        <x:v>10667</x:v>
      </x:c>
      <x:c r="L197" s="21" t="n">
        <x:v>377251.63</x:v>
      </x:c>
      <x:c r="M197" s="22" t="n">
        <x:v>20</x:v>
      </x:c>
    </x:row>
    <x:row r="198" ht="30" customHeight="1">
      <x:c r="A198" s="16" t="n">
        <x:v>46240</x:v>
      </x:c>
      <x:c r="B198" s="17" t="str">
        <x:v>4093815733</x:v>
      </x:c>
      <x:c r="C198" s="18" t="str">
        <x:v>DEPOSITO SPEI</x:v>
      </x:c>
      <x:c r="D198" s="18" t="str">
        <x:v>MARIA TERESA DE JESU DIAZ CARDENAS</x:v>
      </x:c>
      <x:c r="E198" s="18" t="str">
        <x:v>BBVA MEXICO</x:v>
      </x:c>
      <x:c r="F198" s="17" t="str">
        <x:v>CTA 012040011632199258</x:v>
      </x:c>
      <x:c r="G198" s="19" t="str">
        <x:v>3107260 TERRENO</x:v>
      </x:c>
      <x:c r="H198" s="20" t="str">
        <x:v>RASTREO MBAN01002608060059395176</x:v>
      </x:c>
      <x:c r="I198" s="19" t="str">
        <x:v>DEPOSITO SPEI | MARIA TERESA DE JESU DIAZ CARDENAS | BBVA MEXICO 012040011632199258 | 3107260 TERRENO | CLAVE DE RASTREO MBAN01002608060059395176</x:v>
      </x:c>
      <x:c r="J198" s="21"/>
      <x:c r="K198" s="21" t="n">
        <x:v>1500</x:v>
      </x:c>
      <x:c r="L198" s="21" t="n">
        <x:v>378751.63</x:v>
      </x:c>
      <x:c r="M198" s="22" t="n">
        <x:v>20</x:v>
      </x:c>
    </x:row>
    <x:row r="199" ht="30" customHeight="1">
      <x:c r="A199" s="16" t="n">
        <x:v>46240</x:v>
      </x:c>
      <x:c r="B199" s="17" t="str">
        <x:v>8202629035</x:v>
      </x:c>
      <x:c r="C199" s="18" t="str">
        <x:v>TRANSFERENCIA SPEI</x:v>
      </x:c>
      <x:c r="D199" s="18" t="str">
        <x:v>NICOLAS RAMIREZ JAUREGUI</x:v>
      </x:c>
      <x:c r="E199" s="18" t="str">
        <x:v>AZTECA</x:v>
      </x:c>
      <x:c r="F199" s="17" t="str">
        <x:v>CTA 127040013310986896</x:v>
      </x:c>
      <x:c r="G199" s="19" t="str">
        <x:v>20260806 Pago | 036NAPP06082026290351432 RFC NO DISPONIBLE</x:v>
      </x:c>
      <x:c r="H199" s="20" t="str"/>
      <x:c r="I199" s="19" t="str">
        <x:v>TRANSFERENCIA SPEI | NICOLAS RAMIREZ JAUREGUI | AZTECA 127040013310986896 | 20260806 Pago | 036NAPP06082026290351432 RFC NO DISPONIBLE</x:v>
      </x:c>
      <x:c r="J199" s="21" t="n">
        <x:v>4300</x:v>
      </x:c>
      <x:c r="K199" s="21"/>
      <x:c r="L199" s="21" t="n">
        <x:v>374451.63</x:v>
      </x:c>
      <x:c r="M199" s="22" t="n">
        <x:v>20</x:v>
      </x:c>
    </x:row>
    <x:row r="200" ht="30" customHeight="1">
      <x:c r="A200" s="16" t="n">
        <x:v>46240</x:v>
      </x:c>
      <x:c r="B200" s="17" t="str">
        <x:v>8202629035</x:v>
      </x:c>
      <x:c r="C200" s="18" t="str">
        <x:v>TRANSFERENCIA SPEI</x:v>
      </x:c>
      <x:c r="D200" s="18" t="str">
        <x:v>Rines Negros</x:v>
      </x:c>
      <x:c r="E200" s="18" t="str">
        <x:v>BANAMEX</x:v>
      </x:c>
      <x:c r="F200" s="17" t="str">
        <x:v>CTA 002042701404867777</x:v>
      </x:c>
      <x:c r="G200" s="19" t="str">
        <x:v>20260806 Abono rines | 036NAPP06082026290355663 RFC NO DISPONIBLE</x:v>
      </x:c>
      <x:c r="H200" s="20" t="str"/>
      <x:c r="I200" s="19" t="str">
        <x:v>TRANSFERENCIA SPEI | Rines Negros | BANAMEX 002042701404867777 | 20260806 Abono rines | 036NAPP06082026290355663 RFC NO DISPONIBLE</x:v>
      </x:c>
      <x:c r="J200" s="21" t="n">
        <x:v>2000</x:v>
      </x:c>
      <x:c r="K200" s="21"/>
      <x:c r="L200" s="21" t="n">
        <x:v>372451.63</x:v>
      </x:c>
      <x:c r="M200" s="22" t="n">
        <x:v>20</x:v>
      </x:c>
    </x:row>
    <x:row r="201" ht="30" customHeight="1">
      <x:c r="A201" s="16" t="n">
        <x:v>46240</x:v>
      </x:c>
      <x:c r="B201" s="17" t="str">
        <x:v>8202629035</x:v>
      </x:c>
      <x:c r="C201" s="18" t="str">
        <x:v>TRANSFERENCIA SPEI</x:v>
      </x:c>
      <x:c r="D201" s="18" t="str">
        <x:v>Chavira</x:v>
      </x:c>
      <x:c r="E201" s="18" t="str">
        <x:v>BANCOPPEL</x:v>
      </x:c>
      <x:c r="F201" s="17" t="str">
        <x:v>CTA 4169161431083582</x:v>
      </x:c>
      <x:c r="G201" s="19" t="str">
        <x:v>20260806 Pago | 036NAPP06082026290358134 RFC NO DISPONIBLE</x:v>
      </x:c>
      <x:c r="H201" s="20" t="str"/>
      <x:c r="I201" s="19" t="str">
        <x:v>TRANSFERENCIA SPEI | Chavira | BANCOPPEL 4169161431083582 | 20260806 Pago | 036NAPP06082026290358134 RFC NO DISPONIBLE</x:v>
      </x:c>
      <x:c r="J201" s="21" t="n">
        <x:v>30000</x:v>
      </x:c>
      <x:c r="K201" s="21"/>
      <x:c r="L201" s="21" t="n">
        <x:v>342451.63</x:v>
      </x:c>
      <x:c r="M201" s="22" t="n">
        <x:v>20</x:v>
      </x:c>
    </x:row>
    <x:row r="202" ht="30" customHeight="1">
      <x:c r="A202" s="16" t="n">
        <x:v>46240</x:v>
      </x:c>
      <x:c r="B202" s="17" t="str">
        <x:v>4093909619</x:v>
      </x:c>
      <x:c r="C202" s="18" t="str">
        <x:v>DEPOSITO SPEI</x:v>
      </x:c>
      <x:c r="D202" s="18" t="str">
        <x:v>SACNITE NICTEJA CASTRO REYNOSO</x:v>
      </x:c>
      <x:c r="E202" s="18" t="str">
        <x:v>BBVA MEXICO</x:v>
      </x:c>
      <x:c r="F202" s="17" t="str">
        <x:v>CTA 012040015247269870</x:v>
      </x:c>
      <x:c r="G202" s="19" t="str">
        <x:v>2206260 pago agosto</x:v>
      </x:c>
      <x:c r="H202" s="20" t="str">
        <x:v>RASTREO MBAN01002608070059925385</x:v>
      </x:c>
      <x:c r="I202" s="19" t="str">
        <x:v>DEPOSITO SPEI | SACNITE NICTEJA CASTRO REYNOSO | BBVA MEXICO 012040015247269870 | 2206260 pago agosto | CLAVE DE RASTREO MBAN01002608070059925385</x:v>
      </x:c>
      <x:c r="J202" s="21"/>
      <x:c r="K202" s="21" t="n">
        <x:v>1500</x:v>
      </x:c>
      <x:c r="L202" s="21" t="n">
        <x:v>343951.63</x:v>
      </x:c>
      <x:c r="M202" s="22" t="n">
        <x:v>20</x:v>
      </x:c>
    </x:row>
    <x:row r="203" ht="30" customHeight="1">
      <x:c r="A203" s="16" t="n">
        <x:v>46240</x:v>
      </x:c>
      <x:c r="B203" s="17" t="str">
        <x:v>8202629037</x:v>
      </x:c>
      <x:c r="C203" s="18" t="str">
        <x:v>TRANSFERENCIA SPEI</x:v>
      </x:c>
      <x:c r="D203" s="18" t="str">
        <x:v>Rines Negros</x:v>
      </x:c>
      <x:c r="E203" s="18" t="str">
        <x:v>BANAMEX</x:v>
      </x:c>
      <x:c r="F203" s="17" t="str">
        <x:v>CTA 002042701404867777</x:v>
      </x:c>
      <x:c r="G203" s="19" t="str">
        <x:v>20260806 Resto rines | 036NAPP06082026290371726 RFC NO DISPONIBLE</x:v>
      </x:c>
      <x:c r="H203" s="20" t="str"/>
      <x:c r="I203" s="19" t="str">
        <x:v>TRANSFERENCIA SPEI | Rines Negros | BANAMEX 002042701404867777 | 20260806 Resto rines | 036NAPP06082026290371726 RFC NO DISPONIBLE</x:v>
      </x:c>
      <x:c r="J203" s="21" t="n">
        <x:v>18000</x:v>
      </x:c>
      <x:c r="K203" s="21"/>
      <x:c r="L203" s="21" t="n">
        <x:v>325951.63</x:v>
      </x:c>
      <x:c r="M203" s="22" t="n">
        <x:v>20</x:v>
      </x:c>
    </x:row>
    <x:row r="204" ht="30" customHeight="1">
      <x:c r="A204" s="16" t="n">
        <x:v>46240</x:v>
      </x:c>
      <x:c r="B204" s="17" t="str">
        <x:v>4093997139</x:v>
      </x:c>
      <x:c r="C204" s="18" t="str">
        <x:v>DEPOSITO SPEI</x:v>
      </x:c>
      <x:c r="D204" s="18" t="str">
        <x:v>DANIEL ALEJANDRE SANCHEZ</x:v>
      </x:c>
      <x:c r="E204" s="18" t="str">
        <x:v>BANCOPPEL</x:v>
      </x:c>
      <x:c r="F204" s="17" t="str">
        <x:v>CTA 137040103558117738</x:v>
      </x:c>
      <x:c r="G204" s="19" t="str">
        <x:v>608260 M16 L17 palo verde</x:v>
      </x:c>
      <x:c r="H204" s="20" t="str">
        <x:v>RASTREO 50117738TRANSBPI99554910</x:v>
      </x:c>
      <x:c r="I204" s="19" t="str">
        <x:v>DEPOSITO SPEI | DANIEL ALEJANDRE SANCHEZ | BANCOPPEL 137040103558117738 | 608260 M16 L17 palo verde | CLAVE DE RASTREO 50117738TRANSBPI99554910</x:v>
      </x:c>
      <x:c r="J204" s="21"/>
      <x:c r="K204" s="21" t="n">
        <x:v>1700</x:v>
      </x:c>
      <x:c r="L204" s="21" t="n">
        <x:v>327651.63</x:v>
      </x:c>
      <x:c r="M204" s="22" t="n">
        <x:v>20</x:v>
      </x:c>
    </x:row>
    <x:row r="205" ht="30" customHeight="1">
      <x:c r="A205" s="16" t="n">
        <x:v>46240</x:v>
      </x:c>
      <x:c r="B205" s="17" t="str">
        <x:v>4094007445</x:v>
      </x:c>
      <x:c r="C205" s="18" t="str">
        <x:v>DEPOSITO SPEI</x:v>
      </x:c>
      <x:c r="D205" s="18" t="str">
        <x:v>DANIEL ALEJANDRE SANCHEZ</x:v>
      </x:c>
      <x:c r="E205" s="18" t="str">
        <x:v>Mercado Pago W</x:v>
      </x:c>
      <x:c r="F205" s="17" t="str">
        <x:v>CTA 722969016638471731</x:v>
      </x:c>
      <x:c r="G205" s="19" t="str">
        <x:v>5194646 M16 L17 palo verde</x:v>
      </x:c>
      <x:c r="H205" s="20" t="str">
        <x:v>RASTREO CPO172475194646</x:v>
      </x:c>
      <x:c r="I205" s="19" t="str">
        <x:v>DEPOSITO SPEI | DANIEL ALEJANDRE SANCHEZ | Mercado Pago W 722969016638471731 | 5194646 M16 L17 palo verde | CLAVE DE RASTREO CPO172475194646</x:v>
      </x:c>
      <x:c r="J205" s="21"/>
      <x:c r="K205" s="21" t="n">
        <x:v>1661</x:v>
      </x:c>
      <x:c r="L205" s="21" t="n">
        <x:v>329312.63</x:v>
      </x:c>
      <x:c r="M205" s="22" t="n">
        <x:v>20</x:v>
      </x:c>
    </x:row>
    <x:row r="206" ht="30" customHeight="1">
      <x:c r="A206" s="16" t="n">
        <x:v>46240</x:v>
      </x:c>
      <x:c r="B206" s="17" t="str">
        <x:v>8202629037</x:v>
      </x:c>
      <x:c r="C206" s="18" t="str">
        <x:v>TRANSFERENCIA SPEI</x:v>
      </x:c>
      <x:c r="D206" s="18" t="str">
        <x:v>Martin pipa</x:v>
      </x:c>
      <x:c r="E206" s="18" t="str">
        <x:v>BBVA MEXICO</x:v>
      </x:c>
      <x:c r="F206" s="17" t="str">
        <x:v>CTA 4152314219264101</x:v>
      </x:c>
      <x:c r="G206" s="19" t="str">
        <x:v>20260806 Pago | 036NAPP06082026290375365 RFC NO DISPONIBLE</x:v>
      </x:c>
      <x:c r="H206" s="20" t="str"/>
      <x:c r="I206" s="19" t="str">
        <x:v>TRANSFERENCIA SPEI | Martin pipa | BBVA MEXICO 4152314219264101 | 20260806 Pago | 036NAPP06082026290375365 RFC NO DISPONIBLE</x:v>
      </x:c>
      <x:c r="J206" s="21" t="n">
        <x:v>2500</x:v>
      </x:c>
      <x:c r="K206" s="21"/>
      <x:c r="L206" s="21" t="n">
        <x:v>326812.63</x:v>
      </x:c>
      <x:c r="M206" s="22" t="n">
        <x:v>20</x:v>
      </x:c>
    </x:row>
    <x:row r="207" ht="30" customHeight="1">
      <x:c r="A207" s="16" t="n">
        <x:v>46240</x:v>
      </x:c>
      <x:c r="B207" s="17" t="str">
        <x:v>4094068143</x:v>
      </x:c>
      <x:c r="C207" s="18" t="str">
        <x:v>DEPOSITO SPEI</x:v>
      </x:c>
      <x:c r="D207" s="18" t="str">
        <x:v>MARISOL REZA ESTUDILLO</x:v>
      </x:c>
      <x:c r="E207" s="18" t="str">
        <x:v>HSBC</x:v>
      </x:c>
      <x:c r="F207" s="17" t="str">
        <x:v>CTA 021040066240013801</x:v>
      </x:c>
      <x:c r="G207" s="19" t="str">
        <x:v>60826 Transferencia SPEI</x:v>
      </x:c>
      <x:c r="H207" s="20" t="str">
        <x:v>RASTREO HSBC156492</x:v>
      </x:c>
      <x:c r="I207" s="19" t="str">
        <x:v>DEPOSITO SPEI | MARISOL REZA ESTUDILLO | HSBC 021040066240013801 | 60826 Transferencia SPEI | CLAVE DE RASTREO HSBC156492</x:v>
      </x:c>
      <x:c r="J207" s="21"/>
      <x:c r="K207" s="21" t="n">
        <x:v>6000</x:v>
      </x:c>
      <x:c r="L207" s="21" t="n">
        <x:v>332812.63</x:v>
      </x:c>
      <x:c r="M207" s="22" t="n">
        <x:v>21</x:v>
      </x:c>
    </x:row>
    <x:row r="208" ht="30" customHeight="1">
      <x:c r="A208" s="16" t="n">
        <x:v>46240</x:v>
      </x:c>
      <x:c r="B208" s="17" t="str">
        <x:v>4094083812</x:v>
      </x:c>
      <x:c r="C208" s="18" t="str">
        <x:v>DEPOSITO SPEI</x:v>
      </x:c>
      <x:c r="D208" s="18" t="str">
        <x:v>JUAN ANTONIO GERALDO MARTINEZ</x:v>
      </x:c>
      <x:c r="E208" s="18" t="str">
        <x:v>SANTANDER</x:v>
      </x:c>
      <x:c r="F208" s="17" t="str">
        <x:v>CTA 014040567947903254</x:v>
      </x:c>
      <x:c r="G208" s="19" t="str">
        <x:v>1984748 L7. M14</x:v>
      </x:c>
      <x:c r="H208" s="20" t="str">
        <x:v>RASTREO 2026080640014BMOVP000422411550</x:v>
      </x:c>
      <x:c r="I208" s="19" t="str">
        <x:v>DEPOSITO SPEI | JUAN ANTONIO GERALDO MARTINEZ | SANTANDER 014040567947903254 | 1984748 L7. M14 | CLAVE DE RASTREO 2026080640014BMOVP000422411550</x:v>
      </x:c>
      <x:c r="J208" s="21"/>
      <x:c r="K208" s="21" t="n">
        <x:v>1500</x:v>
      </x:c>
      <x:c r="L208" s="21" t="n">
        <x:v>334312.63</x:v>
      </x:c>
      <x:c r="M208" s="22" t="n">
        <x:v>21</x:v>
      </x:c>
    </x:row>
    <x:row r="209" ht="30" customHeight="1">
      <x:c r="A209" s="16" t="n">
        <x:v>46240</x:v>
      </x:c>
      <x:c r="B209" s="17" t="str">
        <x:v>4094085156</x:v>
      </x:c>
      <x:c r="C209" s="18" t="str">
        <x:v>DEPOSITO SPEI</x:v>
      </x:c>
      <x:c r="D209" s="18" t="str">
        <x:v>JUAN ANTONIO GERALDO MARTINEZ</x:v>
      </x:c>
      <x:c r="E209" s="18" t="str">
        <x:v>SANTANDER</x:v>
      </x:c>
      <x:c r="F209" s="17" t="str">
        <x:v>CTA 014040567947903254</x:v>
      </x:c>
      <x:c r="G209" s="19" t="str">
        <x:v>6205365 L4. M14</x:v>
      </x:c>
      <x:c r="H209" s="20" t="str">
        <x:v>RASTREO 2026080640014BMOVP000422472340</x:v>
      </x:c>
      <x:c r="I209" s="19" t="str">
        <x:v>DEPOSITO SPEI | JUAN ANTONIO GERALDO MARTINEZ | SANTANDER 014040567947903254 | 6205365 L4. M14 | CLAVE DE RASTREO 2026080640014BMOVP000422472340</x:v>
      </x:c>
      <x:c r="J209" s="21"/>
      <x:c r="K209" s="21" t="n">
        <x:v>1500</x:v>
      </x:c>
      <x:c r="L209" s="21" t="n">
        <x:v>335812.63</x:v>
      </x:c>
      <x:c r="M209" s="22" t="n">
        <x:v>21</x:v>
      </x:c>
    </x:row>
    <x:row r="210" ht="30" customHeight="1">
      <x:c r="A210" s="16" t="n">
        <x:v>46240</x:v>
      </x:c>
      <x:c r="B210" s="17" t="str">
        <x:v>4094090311</x:v>
      </x:c>
      <x:c r="C210" s="18" t="str">
        <x:v>DEPOSITO SPEI</x:v>
      </x:c>
      <x:c r="D210" s="18" t="str">
        <x:v>SERGIO AMADEO GUERRA MONTIJO</x:v>
      </x:c>
      <x:c r="E210" s="18" t="str">
        <x:v>BANCOPPEL</x:v>
      </x:c>
      <x:c r="F210" s="17" t="str">
        <x:v>CTA 137040104426087630</x:v>
      </x:c>
      <x:c r="G210" s="19" t="str">
        <x:v>608260 Transf. a CARLOS AZAEL ARAUZA ROSAS</x:v>
      </x:c>
      <x:c r="H210" s="20" t="str">
        <x:v>RASTREO 50117630TRANSBPI01020214</x:v>
      </x:c>
      <x:c r="I210" s="19" t="str">
        <x:v>DEPOSITO SPEI | SERGIO AMADEO GUERRA MONTIJO | BANCOPPEL 137040104426087630 | 608260 Transf. a CARLOS AZAEL ARAUZA ROSAS | CLAVE DE RASTREO 50117630TRANSBPI01020214</x:v>
      </x:c>
      <x:c r="J210" s="21"/>
      <x:c r="K210" s="21" t="n">
        <x:v>3000</x:v>
      </x:c>
      <x:c r="L210" s="21" t="n">
        <x:v>338812.63</x:v>
      </x:c>
      <x:c r="M210" s="22" t="n">
        <x:v>21</x:v>
      </x:c>
    </x:row>
    <x:row r="211" ht="30" customHeight="1">
      <x:c r="A211" s="16" t="n">
        <x:v>46240</x:v>
      </x:c>
      <x:c r="B211" s="17" t="str">
        <x:v>4094180315</x:v>
      </x:c>
      <x:c r="C211" s="18" t="str">
        <x:v>DEPOSITO SPEI</x:v>
      </x:c>
      <x:c r="D211" s="18" t="str">
        <x:v>ABISAI MONTERO PARAMO</x:v>
      </x:c>
      <x:c r="E211" s="18" t="str">
        <x:v>BBVA MEXICO</x:v>
      </x:c>
      <x:c r="F211" s="17" t="str">
        <x:v>CTA 012180015212383191</x:v>
      </x:c>
      <x:c r="G211" s="19" t="str">
        <x:v>2206260 M6 L18</x:v>
      </x:c>
      <x:c r="H211" s="20" t="str">
        <x:v>RASTREO MBAN01002608070061470731</x:v>
      </x:c>
      <x:c r="I211" s="19" t="str">
        <x:v>DEPOSITO SPEI | ABISAI MONTERO PARAMO | BBVA MEXICO 012180015212383191 | 2206260 M6 L18 | CLAVE DE RASTREO MBAN01002608070061470731</x:v>
      </x:c>
      <x:c r="J211" s="21"/>
      <x:c r="K211" s="21" t="n">
        <x:v>2389</x:v>
      </x:c>
      <x:c r="L211" s="21" t="n">
        <x:v>341201.63</x:v>
      </x:c>
      <x:c r="M211" s="22" t="n">
        <x:v>21</x:v>
      </x:c>
    </x:row>
    <x:row r="212" ht="30" customHeight="1">
      <x:c r="A212" s="16" t="n">
        <x:v>46240</x:v>
      </x:c>
      <x:c r="B212" s="17" t="str">
        <x:v>4094180552</x:v>
      </x:c>
      <x:c r="C212" s="18" t="str">
        <x:v>DEPOSITO SPEI</x:v>
      </x:c>
      <x:c r="D212" s="18" t="str">
        <x:v>ABISAI MONTERO PARAMO</x:v>
      </x:c>
      <x:c r="E212" s="18" t="str">
        <x:v>BBVA MEXICO</x:v>
      </x:c>
      <x:c r="F212" s="17" t="str">
        <x:v>CTA 012180015212383191</x:v>
      </x:c>
      <x:c r="G212" s="19" t="str">
        <x:v>2206260 M6 L19</x:v>
      </x:c>
      <x:c r="H212" s="20" t="str">
        <x:v>RASTREO MBAN01002608070061471921</x:v>
      </x:c>
      <x:c r="I212" s="19" t="str">
        <x:v>DEPOSITO SPEI | ABISAI MONTERO PARAMO | BBVA MEXICO 012180015212383191 | 2206260 M6 L19 | CLAVE DE RASTREO MBAN01002608070061471921</x:v>
      </x:c>
      <x:c r="J212" s="21"/>
      <x:c r="K212" s="21" t="n">
        <x:v>2389</x:v>
      </x:c>
      <x:c r="L212" s="21" t="n">
        <x:v>343590.63</x:v>
      </x:c>
      <x:c r="M212" s="22" t="n">
        <x:v>21</x:v>
      </x:c>
    </x:row>
    <x:row r="213" ht="30" customHeight="1">
      <x:c r="A213" s="16" t="n">
        <x:v>46241</x:v>
      </x:c>
      <x:c r="B213" s="17" t="str">
        <x:v>4094196831</x:v>
      </x:c>
      <x:c r="C213" s="18" t="str">
        <x:v>DEPOSITO SPEI</x:v>
      </x:c>
      <x:c r="D213" s="18" t="str">
        <x:v>JUAN FRANCISCO PANTOJA MOLINA</x:v>
      </x:c>
      <x:c r="E213" s="18" t="str">
        <x:v>BANORTE</x:v>
      </x:c>
      <x:c r="F213" s="17" t="str">
        <x:v>CTA 072041005587789438</x:v>
      </x:c>
      <x:c r="G213" s="19" t="str">
        <x:v>260806 Manzana26Lote 16</x:v>
      </x:c>
      <x:c r="H213" s="20" t="str">
        <x:v>RASTREO 38432P04202608075624635389</x:v>
      </x:c>
      <x:c r="I213" s="19" t="str">
        <x:v>DEPOSITO SPEI | JUAN FRANCISCO PANTOJA MOLINA | BANORTE 072041005587789438 | 260806 Manzana26Lote 16 | CLAVE DE RASTREO 38432P04202608075624635389</x:v>
      </x:c>
      <x:c r="J213" s="21"/>
      <x:c r="K213" s="21" t="n">
        <x:v>1500</x:v>
      </x:c>
      <x:c r="L213" s="21" t="n">
        <x:v>345090.63</x:v>
      </x:c>
      <x:c r="M213" s="22" t="n">
        <x:v>21</x:v>
      </x:c>
    </x:row>
    <x:row r="214" ht="30" customHeight="1">
      <x:c r="A214" s="16" t="n">
        <x:v>46241</x:v>
      </x:c>
      <x:c r="B214" s="17" t="str">
        <x:v>4094200428</x:v>
      </x:c>
      <x:c r="C214" s="18" t="str">
        <x:v>DEPOSITO SPEI</x:v>
      </x:c>
      <x:c r="D214" s="18" t="str">
        <x:v>MARIA ELENA MARQUEZ ALVAREZ</x:v>
      </x:c>
      <x:c r="E214" s="18" t="str">
        <x:v>BANORTE</x:v>
      </x:c>
      <x:c r="F214" s="17" t="str">
        <x:v>CTA 072041002667724882</x:v>
      </x:c>
      <x:c r="G214" s="19" t="str">
        <x:v>70826 MANZANA 26 LOTE 41</x:v>
      </x:c>
      <x:c r="H214" s="20" t="str">
        <x:v>RASTREO 7875APR1202608075624644976</x:v>
      </x:c>
      <x:c r="I214" s="19" t="str">
        <x:v>DEPOSITO SPEI | MARIA ELENA MARQUEZ ALVAREZ | BANORTE 072041002667724882 | 70826 MANZANA 26 LOTE 41 | CLAVE DE RASTREO 7875APR1202608075624644976</x:v>
      </x:c>
      <x:c r="J214" s="21"/>
      <x:c r="K214" s="21" t="n">
        <x:v>1500</x:v>
      </x:c>
      <x:c r="L214" s="21" t="n">
        <x:v>346590.63</x:v>
      </x:c>
      <x:c r="M214" s="22" t="n">
        <x:v>21</x:v>
      </x:c>
    </x:row>
    <x:row r="215" ht="30" customHeight="1">
      <x:c r="A215" s="16" t="n">
        <x:v>46241</x:v>
      </x:c>
      <x:c r="B215" s="17" t="str">
        <x:v>4094296101</x:v>
      </x:c>
      <x:c r="C215" s="18" t="str">
        <x:v>GASO OLACHEA MX</x:v>
      </x:c>
      <x:c r="D215" s="18" t="str"/>
      <x:c r="E215" s="18" t="str"/>
      <x:c r="F215" s="17" t="str"/>
      <x:c r="G215" s="19" t="str"/>
      <x:c r="H215" s="20" t="str"/>
      <x:c r="I215" s="19" t="str">
        <x:v>GASO OLACHEA MX</x:v>
      </x:c>
      <x:c r="J215" s="21" t="n">
        <x:v>1000</x:v>
      </x:c>
      <x:c r="K215" s="21"/>
      <x:c r="L215" s="21" t="n">
        <x:v>345590.63</x:v>
      </x:c>
      <x:c r="M215" s="22" t="n">
        <x:v>21</x:v>
      </x:c>
    </x:row>
    <x:row r="216" ht="30" customHeight="1">
      <x:c r="A216" s="16" t="n">
        <x:v>46241</x:v>
      </x:c>
      <x:c r="B216" s="17" t="str">
        <x:v>4094296130</x:v>
      </x:c>
      <x:c r="C216" s="18" t="str">
        <x:v>GAS REPSOL MX</x:v>
      </x:c>
      <x:c r="D216" s="18" t="str"/>
      <x:c r="E216" s="18" t="str"/>
      <x:c r="F216" s="17" t="str"/>
      <x:c r="G216" s="19" t="str"/>
      <x:c r="H216" s="20" t="str"/>
      <x:c r="I216" s="19" t="str">
        <x:v>GAS REPSOL MX</x:v>
      </x:c>
      <x:c r="J216" s="21" t="n">
        <x:v>500</x:v>
      </x:c>
      <x:c r="K216" s="21"/>
      <x:c r="L216" s="21" t="n">
        <x:v>345090.63</x:v>
      </x:c>
      <x:c r="M216" s="22" t="n">
        <x:v>21</x:v>
      </x:c>
    </x:row>
    <x:row r="217" ht="30" customHeight="1">
      <x:c r="A217" s="16" t="n">
        <x:v>46241</x:v>
      </x:c>
      <x:c r="B217" s="17" t="str">
        <x:v>8202629046</x:v>
      </x:c>
      <x:c r="C217" s="18" t="str">
        <x:v>TRANSFERENCIA SPEI</x:v>
      </x:c>
      <x:c r="D217" s="18" t="str">
        <x:v>FYMSA BAJA SUR SRL DE CV</x:v>
      </x:c>
      <x:c r="E217" s="18" t="str">
        <x:v>BBVA MEXICO</x:v>
      </x:c>
      <x:c r="F217" s="17" t="str">
        <x:v>CTA 012040001171445392</x:v>
      </x:c>
      <x:c r="G217" s="19" t="str">
        <x:v>20260807 Pago | 036NAPP07082026290469145 RFC NO DISPONIBLE</x:v>
      </x:c>
      <x:c r="H217" s="20" t="str"/>
      <x:c r="I217" s="19" t="str">
        <x:v>TRANSFERENCIA SPEI | FYMSA BAJA SUR SRL DE CV | BBVA MEXICO 012040001171445392 | 20260807 Pago | 036NAPP07082026290469145 RFC NO DISPONIBLE</x:v>
      </x:c>
      <x:c r="J217" s="21" t="n">
        <x:v>23507.43</x:v>
      </x:c>
      <x:c r="K217" s="21"/>
      <x:c r="L217" s="21" t="n">
        <x:v>321583.2</x:v>
      </x:c>
      <x:c r="M217" s="22" t="n">
        <x:v>21</x:v>
      </x:c>
    </x:row>
    <x:row r="218" ht="30" customHeight="1">
      <x:c r="A218" s="16" t="n">
        <x:v>46241</x:v>
      </x:c>
      <x:c r="B218" s="17" t="str">
        <x:v>4095257764</x:v>
      </x:c>
      <x:c r="C218" s="18" t="str">
        <x:v>DEPOSITO SPEI</x:v>
      </x:c>
      <x:c r="D218" s="18" t="str">
        <x:v>IGNACIO GUADALUPE ARCE OJEDA</x:v>
      </x:c>
      <x:c r="E218" s="18" t="str">
        <x:v>SANTANDER</x:v>
      </x:c>
      <x:c r="F218" s="17" t="str">
        <x:v>CTA 014040606289134914</x:v>
      </x:c>
      <x:c r="G218" s="19" t="str">
        <x:v>306209 TRANSFERENCIA A CARLOS AZAEL ARAUZAROSAS</x:v>
      </x:c>
      <x:c r="H218" s="20" t="str">
        <x:v>RASTREO 2026080740014BMOVP000441227720</x:v>
      </x:c>
      <x:c r="I218" s="19" t="str">
        <x:v>DEPOSITO SPEI | IGNACIO GUADALUPE ARCE OJEDA | SANTANDER 014040606289134914 | 306209 TRANSFERENCIA A CARLOS AZAEL ARAUZAROSAS | CLAVE DE RASTREO 2026080740014BMOVP000441227720</x:v>
      </x:c>
      <x:c r="J218" s="21"/>
      <x:c r="K218" s="21" t="n">
        <x:v>1500</x:v>
      </x:c>
      <x:c r="L218" s="21" t="n">
        <x:v>323083.2</x:v>
      </x:c>
      <x:c r="M218" s="22" t="n">
        <x:v>22</x:v>
      </x:c>
    </x:row>
    <x:row r="219" ht="30" customHeight="1">
      <x:c r="A219" s="16" t="n">
        <x:v>46241</x:v>
      </x:c>
      <x:c r="B219" s="17" t="str">
        <x:v>4095418013</x:v>
      </x:c>
      <x:c r="C219" s="18" t="str">
        <x:v>DEPOSITO SPEI</x:v>
      </x:c>
      <x:c r="D219" s="18" t="str">
        <x:v>ENRIQUE ARCADIO VIVEROS FELIX</x:v>
      </x:c>
      <x:c r="E219" s="18" t="str">
        <x:v>SANTANDER</x:v>
      </x:c>
      <x:c r="F219" s="17" t="str">
        <x:v>CTA 014180568227634953</x:v>
      </x:c>
      <x:c r="G219" s="19" t="str">
        <x:v>9752510 PALO VERDE MANZANA 3 LOTE 8</x:v>
      </x:c>
      <x:c r="H219" s="20" t="str">
        <x:v>RASTREO 2026080740014BMOVP000446195020</x:v>
      </x:c>
      <x:c r="I219" s="19" t="str">
        <x:v>DEPOSITO SPEI | ENRIQUE ARCADIO VIVEROS FELIX | SANTANDER 014180568227634953 | 9752510 PALO VERDE MANZANA 3 LOTE 8 | CLAVE DE RASTREO 2026080740014BMOVP000446195020</x:v>
      </x:c>
      <x:c r="J219" s="21"/>
      <x:c r="K219" s="21" t="n">
        <x:v>4776</x:v>
      </x:c>
      <x:c r="L219" s="21" t="n">
        <x:v>327859.2</x:v>
      </x:c>
      <x:c r="M219" s="22" t="n">
        <x:v>22</x:v>
      </x:c>
    </x:row>
    <x:row r="220" ht="30" customHeight="1">
      <x:c r="A220" s="16" t="n">
        <x:v>46241</x:v>
      </x:c>
      <x:c r="B220" s="17" t="str">
        <x:v>4095440793</x:v>
      </x:c>
      <x:c r="C220" s="18" t="str">
        <x:v>DEPOSITO SPEI</x:v>
      </x:c>
      <x:c r="D220" s="18" t="str">
        <x:v>KARLA YARELY FELIPE RAMIREZ</x:v>
      </x:c>
      <x:c r="E220" s="18" t="str">
        <x:v>Mercado Pago W</x:v>
      </x:c>
      <x:c r="F220" s="17" t="str">
        <x:v>CTA 722969070926454024</x:v>
      </x:c>
      <x:c r="G220" s="19" t="str">
        <x:v>8797374 Karla Yarely Felipe Ramirez M13 L13</x:v>
      </x:c>
      <x:c r="H220" s="20" t="str">
        <x:v>RASTREO CPO172618797374</x:v>
      </x:c>
      <x:c r="I220" s="19" t="str">
        <x:v>DEPOSITO SPEI | KARLA YARELY FELIPE RAMIREZ | Mercado Pago W 722969070926454024 | 8797374 Karla Yarely Felipe Ramirez M13 L13 | CLAVE DE RASTREO CPO172618797374</x:v>
      </x:c>
      <x:c r="J220" s="21"/>
      <x:c r="K220" s="21" t="n">
        <x:v>2389</x:v>
      </x:c>
      <x:c r="L220" s="21" t="n">
        <x:v>330248.2</x:v>
      </x:c>
      <x:c r="M220" s="22" t="n">
        <x:v>22</x:v>
      </x:c>
    </x:row>
    <x:row r="221" ht="30" customHeight="1">
      <x:c r="A221" s="16" t="n">
        <x:v>46241</x:v>
      </x:c>
      <x:c r="B221" s="17" t="str">
        <x:v>8202629056</x:v>
      </x:c>
      <x:c r="C221" s="18" t="str">
        <x:v>TRANSFERENCIA SPEI</x:v>
      </x:c>
      <x:c r="D221" s="18" t="str">
        <x:v>Ramses Federico Molina</x:v>
      </x:c>
      <x:c r="E221" s="18" t="str">
        <x:v>BANCOPPEL</x:v>
      </x:c>
      <x:c r="F221" s="17" t="str">
        <x:v>CTA 4169161466722401</x:v>
      </x:c>
      <x:c r="G221" s="19" t="str">
        <x:v>20260807 Pago | 036NAPP07082026290568187 RFC NO DISPONIBLE</x:v>
      </x:c>
      <x:c r="H221" s="20" t="str"/>
      <x:c r="I221" s="19" t="str">
        <x:v>TRANSFERENCIA SPEI | Ramses Federico Molina | BANCOPPEL 4169161466722401 | 20260807 Pago | 036NAPP07082026290568187 RFC NO DISPONIBLE</x:v>
      </x:c>
      <x:c r="J221" s="21" t="n">
        <x:v>1700</x:v>
      </x:c>
      <x:c r="K221" s="21"/>
      <x:c r="L221" s="21" t="n">
        <x:v>328548.2</x:v>
      </x:c>
      <x:c r="M221" s="22" t="n">
        <x:v>22</x:v>
      </x:c>
    </x:row>
    <x:row r="222" ht="30" customHeight="1">
      <x:c r="A222" s="16" t="n">
        <x:v>46241</x:v>
      </x:c>
      <x:c r="B222" s="17" t="str">
        <x:v>4095464010</x:v>
      </x:c>
      <x:c r="C222" s="18" t="str">
        <x:v>DEPOSITO SPEI</x:v>
      </x:c>
      <x:c r="D222" s="18" t="str">
        <x:v>KARLA YARELY FELIPE RAMIREZ</x:v>
      </x:c>
      <x:c r="E222" s="18" t="str">
        <x:v>Mercado Pago W</x:v>
      </x:c>
      <x:c r="F222" s="17" t="str">
        <x:v>CTA 722969070926454024</x:v>
      </x:c>
      <x:c r="G222" s="19" t="str">
        <x:v>5827325 Karla Yarely Felipe Ramirez M13 L13</x:v>
      </x:c>
      <x:c r="H222" s="20" t="str">
        <x:v>RASTREO CPO171715827325</x:v>
      </x:c>
      <x:c r="I222" s="19" t="str">
        <x:v>DEPOSITO SPEI | KARLA YARELY FELIPE RAMIREZ | Mercado Pago W 722969070926454024 | 5827325 Karla Yarely Felipe Ramirez M13 L13 | CLAVE DE RASTREO CPO171715827325</x:v>
      </x:c>
      <x:c r="J222" s="21"/>
      <x:c r="K222" s="21" t="n">
        <x:v>2389</x:v>
      </x:c>
      <x:c r="L222" s="21" t="n">
        <x:v>330937.2</x:v>
      </x:c>
      <x:c r="M222" s="22" t="n">
        <x:v>22</x:v>
      </x:c>
    </x:row>
    <x:row r="223" ht="30" customHeight="1">
      <x:c r="A223" s="16" t="n">
        <x:v>46241</x:v>
      </x:c>
      <x:c r="B223" s="17" t="str">
        <x:v>4095690202</x:v>
      </x:c>
      <x:c r="C223" s="18" t="str">
        <x:v>DEPOSITO SPEI</x:v>
      </x:c>
      <x:c r="D223" s="18" t="str">
        <x:v>EDUARDO ALVARADO IBARRA</x:v>
      </x:c>
      <x:c r="E223" s="18" t="str">
        <x:v>BANORTE</x:v>
      </x:c>
      <x:c r="F223" s="17" t="str">
        <x:v>CTA 072028012905898399</x:v>
      </x:c>
      <x:c r="G223" s="19" t="str">
        <x:v>260807 L23y24M3 agosto</x:v>
      </x:c>
      <x:c r="H223" s="20" t="str">
        <x:v>RASTREO 38432P02202608075627986918</x:v>
      </x:c>
      <x:c r="I223" s="19" t="str">
        <x:v>DEPOSITO SPEI | EDUARDO ALVARADO IBARRA | BANORTE 072028012905898399 | 260807 L23y24M3 agosto | CLAVE DE RASTREO 38432P02202608075627986918</x:v>
      </x:c>
      <x:c r="J223" s="21"/>
      <x:c r="K223" s="21" t="n">
        <x:v>3000</x:v>
      </x:c>
      <x:c r="L223" s="21" t="n">
        <x:v>333937.2</x:v>
      </x:c>
      <x:c r="M223" s="22" t="n">
        <x:v>22</x:v>
      </x:c>
    </x:row>
    <x:row r="224" ht="30" customHeight="1">
      <x:c r="A224" s="16" t="n">
        <x:v>46241</x:v>
      </x:c>
      <x:c r="B224" s="17" t="str">
        <x:v>4095963570</x:v>
      </x:c>
      <x:c r="C224" s="18" t="str">
        <x:v>DEPOSITO SPEI</x:v>
      </x:c>
      <x:c r="D224" s="18" t="str">
        <x:v>MIGUEL ANGEL OMAR SOTO</x:v>
      </x:c>
      <x:c r="E224" s="18" t="str">
        <x:v>AZTECA</x:v>
      </x:c>
      <x:c r="F224" s="17" t="str">
        <x:v>CTA 127040021054695121</x:v>
      </x:c>
      <x:c r="G224" s="19" t="str">
        <x:v>1059321 M8l13 Miguel Angel omar soto</x:v>
      </x:c>
      <x:c r="H224" s="20" t="str">
        <x:v>RASTREO 2608070107994334848H</x:v>
      </x:c>
      <x:c r="I224" s="19" t="str">
        <x:v>DEPOSITO SPEI | MIGUEL ANGEL OMAR SOTO | AZTECA 127040021054695121 | 1059321 M8l13 Miguel Angel omar soto | CLAVE DE RASTREO 2608070107994334848H</x:v>
      </x:c>
      <x:c r="J224" s="21"/>
      <x:c r="K224" s="21" t="n">
        <x:v>1500</x:v>
      </x:c>
      <x:c r="L224" s="21" t="n">
        <x:v>335437.2</x:v>
      </x:c>
      <x:c r="M224" s="22" t="n">
        <x:v>22</x:v>
      </x:c>
    </x:row>
    <x:row r="225" ht="30" customHeight="1">
      <x:c r="A225" s="16" t="n">
        <x:v>46241</x:v>
      </x:c>
      <x:c r="B225" s="17" t="str">
        <x:v>4096004144</x:v>
      </x:c>
      <x:c r="C225" s="18" t="str">
        <x:v>DEPOSITO SPEI</x:v>
      </x:c>
      <x:c r="D225" s="18" t="str">
        <x:v>FATIMA VIRGINIA FERNANDEZ OLIVAS</x:v>
      </x:c>
      <x:c r="E225" s="18" t="str">
        <x:v>BBVA MEXICO</x:v>
      </x:c>
      <x:c r="F225" s="17" t="str">
        <x:v>CTA 012180015372973182</x:v>
      </x:c>
      <x:c r="G225" s="19" t="str">
        <x:v>3107260 fatima terreno</x:v>
      </x:c>
      <x:c r="H225" s="20" t="str">
        <x:v>RASTREO MBAN01002608100067094980</x:v>
      </x:c>
      <x:c r="I225" s="19" t="str">
        <x:v>DEPOSITO SPEI | FATIMA VIRGINIA FERNANDEZ OLIVAS | BBVA MEXICO 012180015372973182 | 3107260 fatima terreno | CLAVE DE RASTREO MBAN01002608100067094980</x:v>
      </x:c>
      <x:c r="J225" s="21"/>
      <x:c r="K225" s="21" t="n">
        <x:v>2388</x:v>
      </x:c>
      <x:c r="L225" s="21" t="n">
        <x:v>337825.2</x:v>
      </x:c>
      <x:c r="M225" s="22" t="n">
        <x:v>22</x:v>
      </x:c>
    </x:row>
    <x:row r="226" ht="30" customHeight="1">
      <x:c r="A226" s="16" t="n">
        <x:v>46242</x:v>
      </x:c>
      <x:c r="B226" s="17" t="str">
        <x:v>4096602080</x:v>
      </x:c>
      <x:c r="C226" s="18" t="str">
        <x:v>DEPOSITO SPEI</x:v>
      </x:c>
      <x:c r="D226" s="18" t="str">
        <x:v>MANUEL SALVADOR GERALDO VERDUGO</x:v>
      </x:c>
      <x:c r="E226" s="18" t="str">
        <x:v>BANCOPPEL</x:v>
      </x:c>
      <x:c r="F226" s="17" t="str">
        <x:v>CTA 137061105045916924</x:v>
      </x:c>
      <x:c r="G226" s="19" t="str">
        <x:v>808260 resto enganche M11 L4</x:v>
      </x:c>
      <x:c r="H226" s="20" t="str">
        <x:v>RASTREO 50116924TRANSBPI21419004</x:v>
      </x:c>
      <x:c r="I226" s="19" t="str">
        <x:v>DEPOSITO SPEI | MANUEL SALVADOR GERALDO VERDUGO | BANCOPPEL 137061105045916924 | 808260 resto enganche M11 L4 | CLAVE DE RASTREO 50116924TRANSBPI21419004</x:v>
      </x:c>
      <x:c r="J226" s="21"/>
      <x:c r="K226" s="21" t="n">
        <x:v>20000</x:v>
      </x:c>
      <x:c r="L226" s="21" t="n">
        <x:v>357825.2</x:v>
      </x:c>
      <x:c r="M226" s="22" t="n">
        <x:v>22</x:v>
      </x:c>
    </x:row>
    <x:row r="227" ht="30" customHeight="1">
      <x:c r="A227" s="16" t="n">
        <x:v>46242</x:v>
      </x:c>
      <x:c r="B227" s="17" t="str">
        <x:v>4096603821</x:v>
      </x:c>
      <x:c r="C227" s="18" t="str">
        <x:v>DEPOSITO SPEI</x:v>
      </x:c>
      <x:c r="D227" s="18" t="str">
        <x:v>MANUEL SALVADOR GERALDO VERDUGO</x:v>
      </x:c>
      <x:c r="E227" s="18" t="str">
        <x:v>BANCOPPEL</x:v>
      </x:c>
      <x:c r="F227" s="17" t="str">
        <x:v>CTA 137061105045916924</x:v>
      </x:c>
      <x:c r="G227" s="19" t="str">
        <x:v>808261 resto enganche M11 L10</x:v>
      </x:c>
      <x:c r="H227" s="20" t="str">
        <x:v>RASTREO 50116924TRANSBPI21449814</x:v>
      </x:c>
      <x:c r="I227" s="19" t="str">
        <x:v>DEPOSITO SPEI | MANUEL SALVADOR GERALDO VERDUGO | BANCOPPEL 137061105045916924 | 808261 resto enganche M11 L10 | CLAVE DE RASTREO 50116924TRANSBPI21449814</x:v>
      </x:c>
      <x:c r="J227" s="21"/>
      <x:c r="K227" s="21" t="n">
        <x:v>20000</x:v>
      </x:c>
      <x:c r="L227" s="21" t="n">
        <x:v>377825.2</x:v>
      </x:c>
      <x:c r="M227" s="22" t="n">
        <x:v>22</x:v>
      </x:c>
    </x:row>
    <x:row r="228" ht="30" customHeight="1">
      <x:c r="A228" s="16" t="n">
        <x:v>46242</x:v>
      </x:c>
      <x:c r="B228" s="17" t="str">
        <x:v>4096738572</x:v>
      </x:c>
      <x:c r="C228" s="18" t="str">
        <x:v>DEPOSITO SPEI</x:v>
      </x:c>
      <x:c r="D228" s="18" t="str">
        <x:v>RAMIREZ JAUREGUI NICOLAS</x:v>
      </x:c>
      <x:c r="E228" s="18" t="str">
        <x:v>AZTECA</x:v>
      </x:c>
      <x:c r="F228" s="17" t="str">
        <x:v>CTA 127040013310986896</x:v>
      </x:c>
      <x:c r="G228" s="19" t="str">
        <x:v>1059321 palo ve m13 Lote 16</x:v>
      </x:c>
      <x:c r="H228" s="20" t="str">
        <x:v>RASTREO 260810070598109632I</x:v>
      </x:c>
      <x:c r="I228" s="19" t="str">
        <x:v>DEPOSITO SPEI | RAMIREZ JAUREGUI NICOLAS | AZTECA 127040013310986896 | 1059321 palo ve m13 Lote 16 | CLAVE DE RASTREO 260810070598109632I</x:v>
      </x:c>
      <x:c r="J228" s="21"/>
      <x:c r="K228" s="21" t="n">
        <x:v>3000</x:v>
      </x:c>
      <x:c r="L228" s="21" t="n">
        <x:v>380825.2</x:v>
      </x:c>
      <x:c r="M228" s="22" t="n">
        <x:v>23</x:v>
      </x:c>
    </x:row>
    <x:row r="229" ht="30" customHeight="1">
      <x:c r="A229" s="16" t="n">
        <x:v>46242</x:v>
      </x:c>
      <x:c r="B229" s="17" t="str">
        <x:v>4096823443</x:v>
      </x:c>
      <x:c r="C229" s="18" t="str">
        <x:v>OXXOALTAVELA CEN MX</x:v>
      </x:c>
      <x:c r="D229" s="18" t="str"/>
      <x:c r="E229" s="18" t="str"/>
      <x:c r="F229" s="17" t="str"/>
      <x:c r="G229" s="19" t="str"/>
      <x:c r="H229" s="20" t="str"/>
      <x:c r="I229" s="19" t="str">
        <x:v>OXXOALTAVELA CEN MX</x:v>
      </x:c>
      <x:c r="J229" s="21" t="n">
        <x:v>342</x:v>
      </x:c>
      <x:c r="K229" s="21"/>
      <x:c r="L229" s="21" t="n">
        <x:v>380483.2</x:v>
      </x:c>
      <x:c r="M229" s="22" t="n">
        <x:v>23</x:v>
      </x:c>
    </x:row>
    <x:row r="230" ht="30" customHeight="1">
      <x:c r="A230" s="16" t="n">
        <x:v>46242</x:v>
      </x:c>
      <x:c r="B230" s="17" t="str">
        <x:v>8202629077</x:v>
      </x:c>
      <x:c r="C230" s="18" t="str">
        <x:v>TRANSFERENCIA SPEI</x:v>
      </x:c>
      <x:c r="D230" s="18" t="str">
        <x:v>Máquina Cobra Rápido</x:v>
      </x:c>
      <x:c r="E230" s="18" t="str">
        <x:v>BANAMEX</x:v>
      </x:c>
      <x:c r="F230" s="17" t="str">
        <x:v>CTA 5204160400755034</x:v>
      </x:c>
      <x:c r="G230" s="19" t="str">
        <x:v>20260808 Pago | 036NAPP08082026290778736 RFC NO DISPONIBLE</x:v>
      </x:c>
      <x:c r="H230" s="20" t="str"/>
      <x:c r="I230" s="19" t="str">
        <x:v>TRANSFERENCIA SPEI | Máquina Cobra Rápido | BANAMEX 5204160400755034 | 20260808 Pago | 036NAPP08082026290778736 RFC NO DISPONIBLE</x:v>
      </x:c>
      <x:c r="J230" s="21" t="n">
        <x:v>3000</x:v>
      </x:c>
      <x:c r="K230" s="21"/>
      <x:c r="L230" s="21" t="n">
        <x:v>377483.2</x:v>
      </x:c>
      <x:c r="M230" s="22" t="n">
        <x:v>23</x:v>
      </x:c>
    </x:row>
    <x:row r="231" ht="30" customHeight="1">
      <x:c r="A231" s="16" t="n">
        <x:v>46242</x:v>
      </x:c>
      <x:c r="B231" s="17" t="str">
        <x:v>8202629082</x:v>
      </x:c>
      <x:c r="C231" s="18" t="str">
        <x:v>TRANSFERENCIA SPEI</x:v>
      </x:c>
      <x:c r="D231" s="18" t="str">
        <x:v>Abigail Guadalupe Perez</x:v>
      </x:c>
      <x:c r="E231" s="18" t="str">
        <x:v>BBVA MEXICO</x:v>
      </x:c>
      <x:c r="F231" s="17" t="str">
        <x:v>CTA 4152314435190015</x:v>
      </x:c>
      <x:c r="G231" s="19" t="str">
        <x:v>20260808 Pago comadre | 036NAPP08082026290825157 RFC NO DISPONIBLE</x:v>
      </x:c>
      <x:c r="H231" s="20" t="str"/>
      <x:c r="I231" s="19" t="str">
        <x:v>TRANSFERENCIA SPEI | Abigail Guadalupe Perez | BBVA MEXICO 4152314435190015 | 20260808 Pago comadre | 036NAPP08082026290825157 RFC NO DISPONIBLE</x:v>
      </x:c>
      <x:c r="J231" s="21" t="n">
        <x:v>13000</x:v>
      </x:c>
      <x:c r="K231" s="21"/>
      <x:c r="L231" s="21" t="n">
        <x:v>364483.2</x:v>
      </x:c>
      <x:c r="M231" s="22" t="n">
        <x:v>23</x:v>
      </x:c>
    </x:row>
    <x:row r="232" ht="30" customHeight="1">
      <x:c r="A232" s="16" t="n">
        <x:v>46243</x:v>
      </x:c>
      <x:c r="B232" s="17" t="str">
        <x:v>4097749715</x:v>
      </x:c>
      <x:c r="C232" s="18" t="str">
        <x:v>CASEMANIA1 MX</x:v>
      </x:c>
      <x:c r="D232" s="18" t="str"/>
      <x:c r="E232" s="18" t="str"/>
      <x:c r="F232" s="17" t="str"/>
      <x:c r="G232" s="19" t="str"/>
      <x:c r="H232" s="20" t="str"/>
      <x:c r="I232" s="19" t="str">
        <x:v>CASEMANIA1 MX</x:v>
      </x:c>
      <x:c r="J232" s="21" t="n">
        <x:v>600</x:v>
      </x:c>
      <x:c r="K232" s="21"/>
      <x:c r="L232" s="21" t="n">
        <x:v>363883.2</x:v>
      </x:c>
      <x:c r="M232" s="22" t="n">
        <x:v>23</x:v>
      </x:c>
    </x:row>
    <x:row r="233" ht="30" customHeight="1">
      <x:c r="A233" s="16" t="n">
        <x:v>46244</x:v>
      </x:c>
      <x:c r="B233" s="17" t="str">
        <x:v>4098833256</x:v>
      </x:c>
      <x:c r="C233" s="18" t="str">
        <x:v>GAS REPSOL MX</x:v>
      </x:c>
      <x:c r="D233" s="18" t="str"/>
      <x:c r="E233" s="18" t="str"/>
      <x:c r="F233" s="17" t="str"/>
      <x:c r="G233" s="19" t="str"/>
      <x:c r="H233" s="20" t="str"/>
      <x:c r="I233" s="19" t="str">
        <x:v>GAS REPSOL MX</x:v>
      </x:c>
      <x:c r="J233" s="21" t="n">
        <x:v>300</x:v>
      </x:c>
      <x:c r="K233" s="21"/>
      <x:c r="L233" s="21" t="n">
        <x:v>363583.2</x:v>
      </x:c>
      <x:c r="M233" s="22" t="n">
        <x:v>23</x:v>
      </x:c>
    </x:row>
    <x:row r="234" ht="30" customHeight="1">
      <x:c r="A234" s="16" t="n">
        <x:v>46244</x:v>
      </x:c>
      <x:c r="B234" s="17" t="str">
        <x:v>4098833267</x:v>
      </x:c>
      <x:c r="C234" s="18" t="str">
        <x:v>CHEDRAUI 127 LA PAZ CO MX</x:v>
      </x:c>
      <x:c r="D234" s="18" t="str"/>
      <x:c r="E234" s="18" t="str"/>
      <x:c r="F234" s="17" t="str"/>
      <x:c r="G234" s="19" t="str"/>
      <x:c r="H234" s="20" t="str"/>
      <x:c r="I234" s="19" t="str">
        <x:v>CHEDRAUI 127 LA PAZ CO MX</x:v>
      </x:c>
      <x:c r="J234" s="21" t="n">
        <x:v>1492</x:v>
      </x:c>
      <x:c r="K234" s="21"/>
      <x:c r="L234" s="21" t="n">
        <x:v>362091.2</x:v>
      </x:c>
      <x:c r="M234" s="22" t="n">
        <x:v>23</x:v>
      </x:c>
    </x:row>
    <x:row r="235" ht="30" customHeight="1">
      <x:c r="A235" s="16" t="n">
        <x:v>46244</x:v>
      </x:c>
      <x:c r="B235" s="17" t="str">
        <x:v>4098833284</x:v>
      </x:c>
      <x:c r="C235" s="18" t="str">
        <x:v>GASO OLACHEA MX</x:v>
      </x:c>
      <x:c r="D235" s="18" t="str"/>
      <x:c r="E235" s="18" t="str"/>
      <x:c r="F235" s="17" t="str"/>
      <x:c r="G235" s="19" t="str"/>
      <x:c r="H235" s="20" t="str"/>
      <x:c r="I235" s="19" t="str">
        <x:v>GASO OLACHEA MX</x:v>
      </x:c>
      <x:c r="J235" s="21" t="n">
        <x:v>300</x:v>
      </x:c>
      <x:c r="K235" s="21"/>
      <x:c r="L235" s="21" t="n">
        <x:v>361791.2</x:v>
      </x:c>
      <x:c r="M235" s="22" t="n">
        <x:v>23</x:v>
      </x:c>
    </x:row>
    <x:row r="236" ht="30" customHeight="1">
      <x:c r="A236" s="16" t="n">
        <x:v>46244</x:v>
      </x:c>
      <x:c r="B236" s="17" t="str">
        <x:v>8202629099</x:v>
      </x:c>
      <x:c r="C236" s="18" t="str">
        <x:v>TRANSFERENCIA SPEI</x:v>
      </x:c>
      <x:c r="D236" s="18" t="str">
        <x:v>FYMSA BAJA SUR SRL DE CV</x:v>
      </x:c>
      <x:c r="E236" s="18" t="str">
        <x:v>BBVA MEXICO</x:v>
      </x:c>
      <x:c r="F236" s="17" t="str">
        <x:v>CTA 012040001171445392</x:v>
      </x:c>
      <x:c r="G236" s="19" t="str">
        <x:v>20260810 Pagl | 036NAPP10082026290996783 RFC NO DISPONIBLE</x:v>
      </x:c>
      <x:c r="H236" s="20" t="str"/>
      <x:c r="I236" s="19" t="str">
        <x:v>TRANSFERENCIA SPEI | FYMSA BAJA SUR SRL DE CV | BBVA MEXICO 012040001171445392 | 20260810 Pagl | 036NAPP10082026290996783 RFC NO DISPONIBLE</x:v>
      </x:c>
      <x:c r="J236" s="21" t="n">
        <x:v>23491.76</x:v>
      </x:c>
      <x:c r="K236" s="21"/>
      <x:c r="L236" s="21" t="n">
        <x:v>338299.44</x:v>
      </x:c>
      <x:c r="M236" s="22" t="n">
        <x:v>23</x:v>
      </x:c>
    </x:row>
    <x:row r="237" ht="30" customHeight="1">
      <x:c r="A237" s="16" t="n">
        <x:v>46244</x:v>
      </x:c>
      <x:c r="B237" s="17" t="str">
        <x:v>4099571325</x:v>
      </x:c>
      <x:c r="C237" s="18" t="str">
        <x:v>DEPOSITO SPEI</x:v>
      </x:c>
      <x:c r="D237" s="18" t="str">
        <x:v>NAYELI JAZMIN DIAZ MEJIA</x:v>
      </x:c>
      <x:c r="E237" s="18" t="str">
        <x:v>BANCOPPEL</x:v>
      </x:c>
      <x:c r="F237" s="17" t="str">
        <x:v>CTA 137320104214499590</x:v>
      </x:c>
      <x:c r="G237" s="19" t="str">
        <x:v>1008261 Mnza24Lote23</x:v>
      </x:c>
      <x:c r="H237" s="20" t="str">
        <x:v>RASTREO 50119590TRANSBPI49864352</x:v>
      </x:c>
      <x:c r="I237" s="19" t="str">
        <x:v>DEPOSITO SPEI | NAYELI JAZMIN DIAZ MEJIA | BANCOPPEL 137320104214499590 | 1008261 Mnza24Lote23 | CLAVE DE RASTREO 50119590TRANSBPI49864352</x:v>
      </x:c>
      <x:c r="J237" s="21"/>
      <x:c r="K237" s="21" t="n">
        <x:v>17333</x:v>
      </x:c>
      <x:c r="L237" s="21" t="n">
        <x:v>355632.44</x:v>
      </x:c>
      <x:c r="M237" s="22" t="n">
        <x:v>23</x:v>
      </x:c>
    </x:row>
    <x:row r="238" ht="30" customHeight="1">
      <x:c r="A238" s="16" t="n">
        <x:v>46244</x:v>
      </x:c>
      <x:c r="B238" s="17" t="str">
        <x:v>4099620957</x:v>
      </x:c>
      <x:c r="C238" s="18" t="str">
        <x:v>DEPOSITO SPEI</x:v>
      </x:c>
      <x:c r="D238" s="18" t="str">
        <x:v>RICARDO OSWALDO ISLAS SEPULVEDA</x:v>
      </x:c>
      <x:c r="E238" s="18" t="str">
        <x:v>Mercado Pago W</x:v>
      </x:c>
      <x:c r="F238" s="17" t="str">
        <x:v>CTA 722969010740795631</x:v>
      </x:c>
      <x:c r="G238" s="19" t="str">
        <x:v>8866088 Palo verde</x:v>
      </x:c>
      <x:c r="H238" s="20" t="str">
        <x:v>RASTREO CPO173068866088</x:v>
      </x:c>
      <x:c r="I238" s="19" t="str">
        <x:v>DEPOSITO SPEI | RICARDO OSWALDO ISLAS SEPULVEDA | Mercado Pago W 722969010740795631 | 8866088 Palo verde | CLAVE DE RASTREO CPO173068866088</x:v>
      </x:c>
      <x:c r="J238" s="21"/>
      <x:c r="K238" s="21" t="n">
        <x:v>1500</x:v>
      </x:c>
      <x:c r="L238" s="21" t="n">
        <x:v>357132.44</x:v>
      </x:c>
      <x:c r="M238" s="22" t="n">
        <x:v>23</x:v>
      </x:c>
    </x:row>
    <x:row r="239" ht="30" customHeight="1">
      <x:c r="A239" s="16" t="n">
        <x:v>46244</x:v>
      </x:c>
      <x:c r="B239" s="17" t="str">
        <x:v>8202629102</x:v>
      </x:c>
      <x:c r="C239" s="18" t="str">
        <x:v>TRANSFERENCIA SPEI</x:v>
      </x:c>
      <x:c r="D239" s="18" t="str">
        <x:v>Rines Negros</x:v>
      </x:c>
      <x:c r="E239" s="18" t="str">
        <x:v>BANAMEX</x:v>
      </x:c>
      <x:c r="F239" s="17" t="str">
        <x:v>CTA 002042701404867777</x:v>
      </x:c>
      <x:c r="G239" s="19" t="str">
        <x:v>20260810 Pago | 036NAPP10082026291025536 RFC NO DISPONIBLE</x:v>
      </x:c>
      <x:c r="H239" s="20" t="str"/>
      <x:c r="I239" s="19" t="str">
        <x:v>TRANSFERENCIA SPEI | Rines Negros | BANAMEX 002042701404867777 | 20260810 Pago | 036NAPP10082026291025536 RFC NO DISPONIBLE</x:v>
      </x:c>
      <x:c r="J239" s="21" t="n">
        <x:v>3000</x:v>
      </x:c>
      <x:c r="K239" s="21"/>
      <x:c r="L239" s="21" t="n">
        <x:v>354132.44</x:v>
      </x:c>
      <x:c r="M239" s="22" t="n">
        <x:v>23</x:v>
      </x:c>
    </x:row>
    <x:row r="240" ht="30" customHeight="1">
      <x:c r="A240" s="16" t="n">
        <x:v>46244</x:v>
      </x:c>
      <x:c r="B240" s="17" t="str">
        <x:v>8202629105</x:v>
      </x:c>
      <x:c r="C240" s="18" t="str">
        <x:v>TRANSFERENCIA SPEI</x:v>
      </x:c>
      <x:c r="D240" s="18" t="str">
        <x:v>Carlos Azael Arauza Rosas</x:v>
      </x:c>
      <x:c r="E240" s="18" t="str">
        <x:v>BANAMEX</x:v>
      </x:c>
      <x:c r="F240" s="17" t="str">
        <x:v>CTA 5204166079684496</x:v>
      </x:c>
      <x:c r="G240" s="19" t="str">
        <x:v>20260810 Pago | 036NAPP10082026291055685 RFC NO DISPONIBLE</x:v>
      </x:c>
      <x:c r="H240" s="20" t="str"/>
      <x:c r="I240" s="19" t="str">
        <x:v>TRANSFERENCIA SPEI | Carlos Azael Arauza Rosas | BANAMEX 5204166079684496 | 20260810 Pago | 036NAPP10082026291055685 RFC NO DISPONIBLE</x:v>
      </x:c>
      <x:c r="J240" s="21" t="n">
        <x:v>200000</x:v>
      </x:c>
      <x:c r="K240" s="21"/>
      <x:c r="L240" s="21" t="n">
        <x:v>154132.44</x:v>
      </x:c>
      <x:c r="M240" s="22" t="n">
        <x:v>23</x:v>
      </x:c>
    </x:row>
    <x:row r="241" ht="30" customHeight="1">
      <x:c r="A241" s="16" t="n">
        <x:v>46244</x:v>
      </x:c>
      <x:c r="B241" s="17" t="str">
        <x:v>8202629107</x:v>
      </x:c>
      <x:c r="C241" s="18" t="str">
        <x:v>TRANSFERENCIA SPEI</x:v>
      </x:c>
      <x:c r="D241" s="18" t="str">
        <x:v>NICOLAS RAMIREZ JAUREGUI</x:v>
      </x:c>
      <x:c r="E241" s="18" t="str">
        <x:v>AZTECA</x:v>
      </x:c>
      <x:c r="F241" s="17" t="str">
        <x:v>CTA 127040013310986896</x:v>
      </x:c>
      <x:c r="G241" s="19" t="str">
        <x:v>20260810 Pago | 036NAPP10082026291070868 RFC NO DISPONIBLE</x:v>
      </x:c>
      <x:c r="H241" s="20" t="str"/>
      <x:c r="I241" s="19" t="str">
        <x:v>TRANSFERENCIA SPEI | NICOLAS RAMIREZ JAUREGUI | AZTECA 127040013310986896 | 20260810 Pago | 036NAPP10082026291070868 RFC NO DISPONIBLE</x:v>
      </x:c>
      <x:c r="J241" s="21" t="n">
        <x:v>1500</x:v>
      </x:c>
      <x:c r="K241" s="21"/>
      <x:c r="L241" s="21" t="n">
        <x:v>152632.44</x:v>
      </x:c>
      <x:c r="M241" s="22" t="n">
        <x:v>24</x:v>
      </x:c>
    </x:row>
    <x:row r="242" ht="30" customHeight="1">
      <x:c r="A242" s="16" t="n">
        <x:v>46244</x:v>
      </x:c>
      <x:c r="B242" s="17" t="str">
        <x:v>4100226267</x:v>
      </x:c>
      <x:c r="C242" s="18" t="str">
        <x:v>DEPOSITO SPEI</x:v>
      </x:c>
      <x:c r="D242" s="18" t="str">
        <x:v>ARTURO AVILES COBIAN</x:v>
      </x:c>
      <x:c r="E242" s="18" t="str">
        <x:v>BANCOPPEL</x:v>
      </x:c>
      <x:c r="F242" s="17" t="str">
        <x:v>CTA 137040101875108943</x:v>
      </x:c>
      <x:c r="G242" s="19" t="str">
        <x:v>1008261 PV M26 L 53 ANUALIDAD</x:v>
      </x:c>
      <x:c r="H242" s="20" t="str">
        <x:v>RASTREO 50118943TRANSBPI56079769</x:v>
      </x:c>
      <x:c r="I242" s="19" t="str">
        <x:v>DEPOSITO SPEI | ARTURO AVILES COBIAN | BANCOPPEL 137040101875108943 | 1008261 PV M26 L 53 ANUALIDAD | CLAVE DE RASTREO 50118943TRANSBPI56079769</x:v>
      </x:c>
      <x:c r="J242" s="21"/>
      <x:c r="K242" s="21" t="n">
        <x:v>3000</x:v>
      </x:c>
      <x:c r="L242" s="21" t="n">
        <x:v>155632.44</x:v>
      </x:c>
      <x:c r="M242" s="22" t="n">
        <x:v>24</x:v>
      </x:c>
    </x:row>
    <x:row r="243" ht="30" customHeight="1">
      <x:c r="A243" s="16" t="n">
        <x:v>46245</x:v>
      </x:c>
      <x:c r="B243" s="17" t="str">
        <x:v>4100693284</x:v>
      </x:c>
      <x:c r="C243" s="18" t="str">
        <x:v>STEREN EPA MX</x:v>
      </x:c>
      <x:c r="D243" s="18" t="str"/>
      <x:c r="E243" s="18" t="str"/>
      <x:c r="F243" s="17" t="str"/>
      <x:c r="G243" s="19" t="str"/>
      <x:c r="H243" s="20" t="str"/>
      <x:c r="I243" s="19" t="str">
        <x:v>STEREN EPA MX</x:v>
      </x:c>
      <x:c r="J243" s="21" t="n">
        <x:v>79</x:v>
      </x:c>
      <x:c r="K243" s="21"/>
      <x:c r="L243" s="21" t="n">
        <x:v>155553.44</x:v>
      </x:c>
      <x:c r="M243" s="22" t="n">
        <x:v>24</x:v>
      </x:c>
    </x:row>
    <x:row r="244" ht="30" customHeight="1">
      <x:c r="A244" s="16" t="n">
        <x:v>46245</x:v>
      </x:c>
      <x:c r="B244" s="17" t="str">
        <x:v>4101151758</x:v>
      </x:c>
      <x:c r="C244" s="18" t="str">
        <x:v>DEPOSITO SPEI</x:v>
      </x:c>
      <x:c r="D244" s="18" t="str">
        <x:v>JOSE ALEJANDRO BALBUENA JAIME</x:v>
      </x:c>
      <x:c r="E244" s="18" t="str">
        <x:v>Mercado Pago W</x:v>
      </x:c>
      <x:c r="F244" s="17" t="str">
        <x:v>CTA 722969010453695109</x:v>
      </x:c>
      <x:c r="G244" s="19" t="str">
        <x:v>9190879 MERCADO*PAGO</x:v>
      </x:c>
      <x:c r="H244" s="20" t="str">
        <x:v>RASTREO CPO172319190879</x:v>
      </x:c>
      <x:c r="I244" s="19" t="str">
        <x:v>DEPOSITO SPEI | JOSE ALEJANDRO BALBUENA JAIME | Mercado Pago W 722969010453695109 | 9190879 MERCADO*PAGO | CLAVE DE RASTREO CPO172319190879</x:v>
      </x:c>
      <x:c r="J244" s="21"/>
      <x:c r="K244" s="21" t="n">
        <x:v>14083</x:v>
      </x:c>
      <x:c r="L244" s="21" t="n">
        <x:v>169636.44</x:v>
      </x:c>
      <x:c r="M244" s="22" t="n">
        <x:v>24</x:v>
      </x:c>
    </x:row>
    <x:row r="245" ht="30" customHeight="1">
      <x:c r="A245" s="16" t="n">
        <x:v>46245</x:v>
      </x:c>
      <x:c r="B245" s="17" t="str">
        <x:v>4101152755</x:v>
      </x:c>
      <x:c r="C245" s="18" t="str">
        <x:v>DEPOSITO SPEI</x:v>
      </x:c>
      <x:c r="D245" s="18" t="str">
        <x:v>JOSE ALEJANDRO BALBUENA JAIME</x:v>
      </x:c>
      <x:c r="E245" s="18" t="str">
        <x:v>Mercado Pago W</x:v>
      </x:c>
      <x:c r="F245" s="17" t="str">
        <x:v>CTA 722969010453695109</x:v>
      </x:c>
      <x:c r="G245" s="19" t="str">
        <x:v>1811604 MERCADO*PAGO</x:v>
      </x:c>
      <x:c r="H245" s="20" t="str">
        <x:v>RASTREO CPO173231811604</x:v>
      </x:c>
      <x:c r="I245" s="19" t="str">
        <x:v>DEPOSITO SPEI | JOSE ALEJANDRO BALBUENA JAIME | Mercado Pago W 722969010453695109 | 1811604 MERCADO*PAGO | CLAVE DE RASTREO CPO173231811604</x:v>
      </x:c>
      <x:c r="J245" s="21"/>
      <x:c r="K245" s="21" t="n">
        <x:v>3000</x:v>
      </x:c>
      <x:c r="L245" s="21" t="n">
        <x:v>172636.44</x:v>
      </x:c>
      <x:c r="M245" s="22" t="n">
        <x:v>24</x:v>
      </x:c>
    </x:row>
    <x:row r="246" ht="30" customHeight="1">
      <x:c r="A246" s="16" t="n">
        <x:v>46245</x:v>
      </x:c>
      <x:c r="B246" s="17" t="str">
        <x:v>8202629120</x:v>
      </x:c>
      <x:c r="C246" s="18" t="str">
        <x:v>TRANSFERENCIA SPEI</x:v>
      </x:c>
      <x:c r="D246" s="18" t="str">
        <x:v>Diego Peralta Osuna</x:v>
      </x:c>
      <x:c r="E246" s="18" t="str">
        <x:v>HSBC</x:v>
      </x:c>
      <x:c r="F246" s="17" t="str">
        <x:v>CTA 4213169315543700</x:v>
      </x:c>
      <x:c r="G246" s="19" t="str">
        <x:v>20260811 Pago | 036NAPP11082026291208770 RFC NO DISPONIBLE</x:v>
      </x:c>
      <x:c r="H246" s="20" t="str"/>
      <x:c r="I246" s="19" t="str">
        <x:v>TRANSFERENCIA SPEI | Diego Peralta Osuna | HSBC 4213169315543700 | 20260811 Pago | 036NAPP11082026291208770 RFC NO DISPONIBLE</x:v>
      </x:c>
      <x:c r="J246" s="21" t="n">
        <x:v>50000</x:v>
      </x:c>
      <x:c r="K246" s="21"/>
      <x:c r="L246" s="21" t="n">
        <x:v>122636.44</x:v>
      </x:c>
      <x:c r="M246" s="22" t="n">
        <x:v>24</x:v>
      </x:c>
    </x:row>
    <x:row r="247" ht="30" customHeight="1">
      <x:c r="A247" s="16" t="n">
        <x:v>46245</x:v>
      </x:c>
      <x:c r="B247" s="17" t="str">
        <x:v>4101189060</x:v>
      </x:c>
      <x:c r="C247" s="18" t="str">
        <x:v>DEVOLUCION SPEI</x:v>
      </x:c>
      <x:c r="D247" s="18" t="str"/>
      <x:c r="E247" s="18" t="str"/>
      <x:c r="F247" s="17" t="str"/>
      <x:c r="G247" s="19" t="str">
        <x:v>ABONO POR DEVOLUCION DE TRANSFERENCIA RASTREO:</x:v>
      </x:c>
      <x:c r="H247" s="20" t="str"/>
      <x:c r="I247" s="19" t="str">
        <x:v>DEVOLUCION SPEI | ABONO POR DEVOLUCION DE TRANSFERENCIA RASTREO:</x:v>
      </x:c>
      <x:c r="J247" s="21"/>
      <x:c r="K247" s="21" t="n">
        <x:v>50000</x:v>
      </x:c>
      <x:c r="L247" s="21" t="n">
        <x:v>172636.44</x:v>
      </x:c>
      <x:c r="M247" s="22" t="n">
        <x:v>24</x:v>
      </x:c>
    </x:row>
    <x:row r="248" ht="30" customHeight="1">
      <x:c r="A248" s="16" t="n">
        <x:v>46245</x:v>
      </x:c>
      <x:c r="B248" s="17" t="str">
        <x:v>4101387810</x:v>
      </x:c>
      <x:c r="C248" s="18" t="str">
        <x:v>DEPOSITO SPEI</x:v>
      </x:c>
      <x:c r="D248" s="18" t="str">
        <x:v>FLORES VALENZUELA JOSE LEONARDO</x:v>
      </x:c>
      <x:c r="E248" s="18" t="str">
        <x:v>AZTECA</x:v>
      </x:c>
      <x:c r="F248" s="17" t="str">
        <x:v>CTA 127040013433068280</x:v>
      </x:c>
      <x:c r="G248" s="19" t="str">
        <x:v>1059321 PV M25 L3</x:v>
      </x:c>
      <x:c r="H248" s="20" t="str">
        <x:v>RASTREO 260811010632672784I</x:v>
      </x:c>
      <x:c r="I248" s="19" t="str">
        <x:v>DEPOSITO SPEI | FLORES VALENZUELA JOSE LEONARDO | AZTECA 127040013433068280 | 1059321 PV M25 L3 | CLAVE DE RASTREO 260811010632672784I</x:v>
      </x:c>
      <x:c r="J248" s="21"/>
      <x:c r="K248" s="21" t="n">
        <x:v>3000</x:v>
      </x:c>
      <x:c r="L248" s="21" t="n">
        <x:v>175636.44</x:v>
      </x:c>
      <x:c r="M248" s="22" t="n">
        <x:v>24</x:v>
      </x:c>
    </x:row>
    <x:row r="249" ht="30" customHeight="1">
      <x:c r="A249" s="16" t="n">
        <x:v>46245</x:v>
      </x:c>
      <x:c r="B249" s="17" t="str">
        <x:v>4101428457</x:v>
      </x:c>
      <x:c r="C249" s="18" t="str">
        <x:v>DEPOSITO SPEI</x:v>
      </x:c>
      <x:c r="D249" s="18" t="str">
        <x:v>FLORES VALENZUELA JOSE LEONARDO</x:v>
      </x:c>
      <x:c r="E249" s="18" t="str">
        <x:v>AZTECA</x:v>
      </x:c>
      <x:c r="F249" s="17" t="str">
        <x:v>CTA 127040013433068280</x:v>
      </x:c>
      <x:c r="G249" s="19" t="str">
        <x:v>1059321 PV M25 L3</x:v>
      </x:c>
      <x:c r="H249" s="20" t="str">
        <x:v>RASTREO 260811010632866931I</x:v>
      </x:c>
      <x:c r="I249" s="19" t="str">
        <x:v>DEPOSITO SPEI | FLORES VALENZUELA JOSE LEONARDO | AZTECA 127040013433068280 | 1059321 PV M25 L3 | CLAVE DE RASTREO 260811010632866931I</x:v>
      </x:c>
      <x:c r="J249" s="21"/>
      <x:c r="K249" s="21" t="n">
        <x:v>667</x:v>
      </x:c>
      <x:c r="L249" s="21" t="n">
        <x:v>176303.44</x:v>
      </x:c>
      <x:c r="M249" s="22" t="n">
        <x:v>24</x:v>
      </x:c>
    </x:row>
    <x:row r="250" ht="30" customHeight="1">
      <x:c r="A250" s="16" t="n">
        <x:v>46245</x:v>
      </x:c>
      <x:c r="B250" s="17" t="str">
        <x:v>4101460361</x:v>
      </x:c>
      <x:c r="C250" s="18" t="str">
        <x:v>DEPOSITO SPEI</x:v>
      </x:c>
      <x:c r="D250" s="18" t="str">
        <x:v>RICARDO OSWALDO ISLAS SEPULVEDA</x:v>
      </x:c>
      <x:c r="E250" s="18" t="str">
        <x:v>Mercado Pago W</x:v>
      </x:c>
      <x:c r="F250" s="17" t="str">
        <x:v>CTA 722969010740795631</x:v>
      </x:c>
      <x:c r="G250" s="19" t="str">
        <x:v>7182748 Palo verde</x:v>
      </x:c>
      <x:c r="H250" s="20" t="str">
        <x:v>RASTREO CPO173257182748</x:v>
      </x:c>
      <x:c r="I250" s="19" t="str">
        <x:v>DEPOSITO SPEI | RICARDO OSWALDO ISLAS SEPULVEDA | Mercado Pago W 722969010740795631 | 7182748 Palo verde | CLAVE DE RASTREO CPO173257182748</x:v>
      </x:c>
      <x:c r="J250" s="21"/>
      <x:c r="K250" s="21" t="n">
        <x:v>5000</x:v>
      </x:c>
      <x:c r="L250" s="21" t="n">
        <x:v>181303.44</x:v>
      </x:c>
      <x:c r="M250" s="22" t="n">
        <x:v>24</x:v>
      </x:c>
    </x:row>
    <x:row r="251" ht="30" customHeight="1">
      <x:c r="A251" s="16" t="n">
        <x:v>46245</x:v>
      </x:c>
      <x:c r="B251" s="17" t="str">
        <x:v>4101462033</x:v>
      </x:c>
      <x:c r="C251" s="18" t="str">
        <x:v>DEPOSITO SPEI</x:v>
      </x:c>
      <x:c r="D251" s="18" t="str">
        <x:v>RICARDO OSWALDO ISLAS SEPULVEDA</x:v>
      </x:c>
      <x:c r="E251" s="18" t="str">
        <x:v>Mercado Pago W</x:v>
      </x:c>
      <x:c r="F251" s="17" t="str">
        <x:v>CTA 722969010740795631</x:v>
      </x:c>
      <x:c r="G251" s="19" t="str">
        <x:v>5923860 Palo verde</x:v>
      </x:c>
      <x:c r="H251" s="20" t="str">
        <x:v>RASTREO CPO173255923860</x:v>
      </x:c>
      <x:c r="I251" s="19" t="str">
        <x:v>DEPOSITO SPEI | RICARDO OSWALDO ISLAS SEPULVEDA | Mercado Pago W 722969010740795631 | 5923860 Palo verde | CLAVE DE RASTREO CPO173255923860</x:v>
      </x:c>
      <x:c r="J251" s="21"/>
      <x:c r="K251" s="21" t="n">
        <x:v>5000</x:v>
      </x:c>
      <x:c r="L251" s="21" t="n">
        <x:v>186303.44</x:v>
      </x:c>
      <x:c r="M251" s="22" t="n">
        <x:v>24</x:v>
      </x:c>
    </x:row>
    <x:row r="252" ht="30" customHeight="1">
      <x:c r="A252" s="16" t="n">
        <x:v>46245</x:v>
      </x:c>
      <x:c r="B252" s="17" t="str">
        <x:v>8202629134</x:v>
      </x:c>
      <x:c r="C252" s="18" t="str">
        <x:v>TRANSFERENCIA SPEI</x:v>
      </x:c>
      <x:c r="D252" s="18" t="str">
        <x:v>Mal Padre</x:v>
      </x:c>
      <x:c r="E252" s="18" t="str">
        <x:v>SPIN BY OXXO</x:v>
      </x:c>
      <x:c r="F252" s="17" t="str">
        <x:v>CTA 4217470237670449</x:v>
      </x:c>
      <x:c r="G252" s="19" t="str">
        <x:v>20260811 Pago | 036NAPP11082026291342562 RFC NO DISPONIBLE</x:v>
      </x:c>
      <x:c r="H252" s="20" t="str"/>
      <x:c r="I252" s="19" t="str">
        <x:v>TRANSFERENCIA SPEI | Mal Padre | SPIN BY OXXO 4217470237670449 | 20260811 Pago | 036NAPP11082026291342562 RFC NO DISPONIBLE</x:v>
      </x:c>
      <x:c r="J252" s="21" t="n">
        <x:v>800</x:v>
      </x:c>
      <x:c r="K252" s="21"/>
      <x:c r="L252" s="21" t="n">
        <x:v>185503.44</x:v>
      </x:c>
      <x:c r="M252" s="22" t="n">
        <x:v>25</x:v>
      </x:c>
    </x:row>
    <x:row r="253" ht="30" customHeight="1">
      <x:c r="A253" s="16" t="n">
        <x:v>46246</x:v>
      </x:c>
      <x:c r="B253" s="17" t="str">
        <x:v>4102433029</x:v>
      </x:c>
      <x:c r="C253" s="18" t="str">
        <x:v>DEPOSITO SPEI</x:v>
      </x:c>
      <x:c r="D253" s="18" t="str">
        <x:v>JOSE VLADIMIR UREIRO BAZAN</x:v>
      </x:c>
      <x:c r="E253" s="18" t="str">
        <x:v>BBVA MEXICO</x:v>
      </x:c>
      <x:c r="F253" s="17" t="str">
        <x:v>CTA 012040011421264860</x:v>
      </x:c>
      <x:c r="G253" s="19" t="str">
        <x:v>2206260 mza9lote21josevladimirureirobaxan</x:v>
      </x:c>
      <x:c r="H253" s="20" t="str">
        <x:v>RASTREO MBAN01002608120089197431</x:v>
      </x:c>
      <x:c r="I253" s="19" t="str">
        <x:v>DEPOSITO SPEI | JOSE VLADIMIR UREIRO BAZAN | BBVA MEXICO 012040011421264860 | 2206260 mza9lote21josevladimirureirobaxan | CLAVE DE RASTREO MBAN01002608120089197431</x:v>
      </x:c>
      <x:c r="J253" s="21"/>
      <x:c r="K253" s="21" t="n">
        <x:v>1500</x:v>
      </x:c>
      <x:c r="L253" s="21" t="n">
        <x:v>187003.44</x:v>
      </x:c>
      <x:c r="M253" s="22" t="n">
        <x:v>25</x:v>
      </x:c>
    </x:row>
    <x:row r="254" ht="30" customHeight="1">
      <x:c r="A254" s="16" t="n">
        <x:v>46246</x:v>
      </x:c>
      <x:c r="B254" s="17" t="str">
        <x:v>8202629137</x:v>
      </x:c>
      <x:c r="C254" s="18" t="str">
        <x:v>TRANSFERENCIA SPEI</x:v>
      </x:c>
      <x:c r="D254" s="18" t="str">
        <x:v>FYMSA BAJA SUR SRL DE CV</x:v>
      </x:c>
      <x:c r="E254" s="18" t="str">
        <x:v>BBVA MEXICO</x:v>
      </x:c>
      <x:c r="F254" s="17" t="str">
        <x:v>CTA 012040001171445392</x:v>
      </x:c>
      <x:c r="G254" s="19" t="str">
        <x:v>20260812 Pago | 036NAPP12082026291370025 RFC NO DISPONIBLE</x:v>
      </x:c>
      <x:c r="H254" s="20" t="str"/>
      <x:c r="I254" s="19" t="str">
        <x:v>TRANSFERENCIA SPEI | FYMSA BAJA SUR SRL DE CV | BBVA MEXICO 012040001171445392 | 20260812 Pago | 036NAPP12082026291370025 RFC NO DISPONIBLE</x:v>
      </x:c>
      <x:c r="J254" s="21" t="n">
        <x:v>16391.08</x:v>
      </x:c>
      <x:c r="K254" s="21"/>
      <x:c r="L254" s="21" t="n">
        <x:v>170612.36</x:v>
      </x:c>
      <x:c r="M254" s="22" t="n">
        <x:v>25</x:v>
      </x:c>
    </x:row>
    <x:row r="255" ht="30" customHeight="1">
      <x:c r="A255" s="16" t="n">
        <x:v>46246</x:v>
      </x:c>
      <x:c r="B255" s="17" t="str">
        <x:v>4102652205</x:v>
      </x:c>
      <x:c r="C255" s="18" t="str">
        <x:v>DEPOSITO SPEI</x:v>
      </x:c>
      <x:c r="D255" s="18" t="str">
        <x:v>LORENA ELIZABETH LEON GREEN</x:v>
      </x:c>
      <x:c r="E255" s="18" t="str">
        <x:v>BBVA MEXICO</x:v>
      </x:c>
      <x:c r="F255" s="17" t="str">
        <x:v>CTA 012040015282671245</x:v>
      </x:c>
      <x:c r="G255" s="19" t="str">
        <x:v>3107260 Pago PV 21-4</x:v>
      </x:c>
      <x:c r="H255" s="20" t="str">
        <x:v>RASTREO MBAN01002608120090115290</x:v>
      </x:c>
      <x:c r="I255" s="19" t="str">
        <x:v>DEPOSITO SPEI | LORENA ELIZABETH LEON GREEN | BBVA MEXICO 012040015282671245 | 3107260 Pago PV 21-4 | CLAVE DE RASTREO MBAN01002608120090115290</x:v>
      </x:c>
      <x:c r="J255" s="21"/>
      <x:c r="K255" s="21" t="n">
        <x:v>1500</x:v>
      </x:c>
      <x:c r="L255" s="21" t="n">
        <x:v>172112.36</x:v>
      </x:c>
      <x:c r="M255" s="22" t="n">
        <x:v>25</x:v>
      </x:c>
    </x:row>
    <x:row r="256" ht="30" customHeight="1">
      <x:c r="A256" s="16" t="n">
        <x:v>46246</x:v>
      </x:c>
      <x:c r="B256" s="17" t="str">
        <x:v>4102663985</x:v>
      </x:c>
      <x:c r="C256" s="18" t="str">
        <x:v>DEPOSITO SPEI</x:v>
      </x:c>
      <x:c r="D256" s="18" t="str">
        <x:v>DARYA MAURA GUADALUP VILLARINO GUTIERREZ</x:v>
      </x:c>
      <x:c r="E256" s="18" t="str">
        <x:v>BANORTE</x:v>
      </x:c>
      <x:c r="F256" s="17" t="str">
        <x:v>CTA 072028002579338211</x:v>
      </x:c>
      <x:c r="G256" s="19" t="str">
        <x:v>260812 M21 L27 Darya Villarino</x:v>
      </x:c>
      <x:c r="H256" s="20" t="str">
        <x:v>RASTREO 3843CP01202608125642638158</x:v>
      </x:c>
      <x:c r="I256" s="19" t="str">
        <x:v>DEPOSITO SPEI | DARYA MAURA GUADALUP VILLARINO GUTIERREZ | BANORTE 072028002579338211 | 260812 M21 L27 Darya Villarino | CLAVE DE RASTREO 3843CP01202608125642638158</x:v>
      </x:c>
      <x:c r="J256" s="21"/>
      <x:c r="K256" s="21" t="n">
        <x:v>1500</x:v>
      </x:c>
      <x:c r="L256" s="21" t="n">
        <x:v>173612.36</x:v>
      </x:c>
      <x:c r="M256" s="22" t="n">
        <x:v>25</x:v>
      </x:c>
    </x:row>
    <x:row r="257" ht="30" customHeight="1">
      <x:c r="A257" s="16" t="n">
        <x:v>46246</x:v>
      </x:c>
      <x:c r="B257" s="17" t="str">
        <x:v>4102677496</x:v>
      </x:c>
      <x:c r="C257" s="18" t="str">
        <x:v>DEPOSITO SPEI</x:v>
      </x:c>
      <x:c r="D257" s="18" t="str">
        <x:v>JESSICA ALEJANDRA RAMIREZ MACIAS</x:v>
      </x:c>
      <x:c r="E257" s="18" t="str">
        <x:v>BANORTE</x:v>
      </x:c>
      <x:c r="F257" s="17" t="str">
        <x:v>CTA 072040012467540095</x:v>
      </x:c>
      <x:c r="G257" s="19" t="str">
        <x:v>260812 Ramirez M Jessica A M17 L21 agosto</x:v>
      </x:c>
      <x:c r="H257" s="20" t="str">
        <x:v>RASTREO 38432P05202608125642681737</x:v>
      </x:c>
      <x:c r="I257" s="19" t="str">
        <x:v>DEPOSITO SPEI | JESSICA ALEJANDRA RAMIREZ MACIAS | BANORTE 072040012467540095 | 260812 Ramirez M Jessica A M17 L21 agosto | CLAVE DE RASTREO 38432P05202608125642681737</x:v>
      </x:c>
      <x:c r="J257" s="21"/>
      <x:c r="K257" s="21" t="n">
        <x:v>1500</x:v>
      </x:c>
      <x:c r="L257" s="21" t="n">
        <x:v>175112.36</x:v>
      </x:c>
      <x:c r="M257" s="22" t="n">
        <x:v>25</x:v>
      </x:c>
    </x:row>
    <x:row r="258" ht="30" customHeight="1">
      <x:c r="A258" s="16" t="n">
        <x:v>46246</x:v>
      </x:c>
      <x:c r="B258" s="17" t="str">
        <x:v>4102703173</x:v>
      </x:c>
      <x:c r="C258" s="18" t="str">
        <x:v>DEPOSITO SPEI</x:v>
      </x:c>
      <x:c r="D258" s="18" t="str">
        <x:v>LORENA ELIZABETH LEON GREEN</x:v>
      </x:c>
      <x:c r="E258" s="18" t="str">
        <x:v>BBVA MEXICO</x:v>
      </x:c>
      <x:c r="F258" s="17" t="str">
        <x:v>CTA 012040015282671245</x:v>
      </x:c>
      <x:c r="G258" s="19" t="str">
        <x:v>3107260 Abono PV21-5</x:v>
      </x:c>
      <x:c r="H258" s="20" t="str">
        <x:v>RASTREO MBAN01002608120090343905</x:v>
      </x:c>
      <x:c r="I258" s="19" t="str">
        <x:v>DEPOSITO SPEI | LORENA ELIZABETH LEON GREEN | BBVA MEXICO 012040015282671245 | 3107260 Abono PV21-5 | CLAVE DE RASTREO MBAN01002608120090343905</x:v>
      </x:c>
      <x:c r="J258" s="21"/>
      <x:c r="K258" s="21" t="n">
        <x:v>1500</x:v>
      </x:c>
      <x:c r="L258" s="21" t="n">
        <x:v>176612.36</x:v>
      </x:c>
      <x:c r="M258" s="22" t="n">
        <x:v>25</x:v>
      </x:c>
    </x:row>
    <x:row r="259" ht="30" customHeight="1">
      <x:c r="A259" s="16" t="n">
        <x:v>46246</x:v>
      </x:c>
      <x:c r="B259" s="17" t="str">
        <x:v>4102814098</x:v>
      </x:c>
      <x:c r="C259" s="18" t="str">
        <x:v>DEPOSITO SPEI</x:v>
      </x:c>
      <x:c r="D259" s="18" t="str">
        <x:v>LORENA ELIZABETH LEON GREEN</x:v>
      </x:c>
      <x:c r="E259" s="18" t="str">
        <x:v>BBVA MEXICO</x:v>
      </x:c>
      <x:c r="F259" s="17" t="str">
        <x:v>CTA 012040015282671245</x:v>
      </x:c>
      <x:c r="G259" s="19" t="str">
        <x:v>3107260 Pago 1ra Anual PV21-4</x:v>
      </x:c>
      <x:c r="H259" s="20" t="str">
        <x:v>RASTREO MBAN01002608120090661006</x:v>
      </x:c>
      <x:c r="I259" s="19" t="str">
        <x:v>DEPOSITO SPEI | LORENA ELIZABETH LEON GREEN | BBVA MEXICO 012040015282671245 | 3107260 Pago 1ra Anual PV21-4 | CLAVE DE RASTREO MBAN01002608120090661006</x:v>
      </x:c>
      <x:c r="J259" s="21"/>
      <x:c r="K259" s="21" t="n">
        <x:v>10666</x:v>
      </x:c>
      <x:c r="L259" s="21" t="n">
        <x:v>187278.36</x:v>
      </x:c>
      <x:c r="M259" s="22" t="n">
        <x:v>25</x:v>
      </x:c>
    </x:row>
    <x:row r="260" ht="30" customHeight="1">
      <x:c r="A260" s="16" t="n">
        <x:v>46246</x:v>
      </x:c>
      <x:c r="B260" s="17" t="str">
        <x:v>4102946865</x:v>
      </x:c>
      <x:c r="C260" s="18" t="str">
        <x:v>DEPOSITO SPEI</x:v>
      </x:c>
      <x:c r="D260" s="18" t="str">
        <x:v>SONIA,LOPEZ/ALVAREZ</x:v>
      </x:c>
      <x:c r="E260" s="18" t="str">
        <x:v>BANAMEX</x:v>
      </x:c>
      <x:c r="F260" s="17" t="str">
        <x:v>CTA 002045904090074561</x:v>
      </x:c>
      <x:c r="G260" s="19" t="str">
        <x:v>120826 comida</x:v>
      </x:c>
      <x:c r="H260" s="20" t="str">
        <x:v>RASTREO 085904117534322461</x:v>
      </x:c>
      <x:c r="I260" s="19" t="str">
        <x:v>DEPOSITO SPEI | SONIA,LOPEZ/ALVAREZ | BANAMEX 002045904090074561 | 120826 comida | CLAVE DE RASTREO 085904117534322461</x:v>
      </x:c>
      <x:c r="J260" s="21"/>
      <x:c r="K260" s="21" t="n">
        <x:v>1500</x:v>
      </x:c>
      <x:c r="L260" s="21" t="n">
        <x:v>188778.36</x:v>
      </x:c>
      <x:c r="M260" s="22" t="n">
        <x:v>25</x:v>
      </x:c>
    </x:row>
    <x:row r="261" ht="30" customHeight="1">
      <x:c r="A261" s="16" t="n">
        <x:v>46246</x:v>
      </x:c>
      <x:c r="B261" s="17" t="str">
        <x:v>4103107588</x:v>
      </x:c>
      <x:c r="C261" s="18" t="str">
        <x:v>DEPOSITO SPEI</x:v>
      </x:c>
      <x:c r="D261" s="18" t="str">
        <x:v>JUAN PABLO DUEÑAS ARMENDARIZ</x:v>
      </x:c>
      <x:c r="E261" s="18" t="str">
        <x:v>BBVA MEXICO</x:v>
      </x:c>
      <x:c r="F261" s="17" t="str">
        <x:v>CTA 012040015559327743</x:v>
      </x:c>
      <x:c r="G261" s="19" t="str">
        <x:v>3107260 juan pablo dueñas L24 M22</x:v>
      </x:c>
      <x:c r="H261" s="20" t="str">
        <x:v>RASTREO MBAN01002608120091613163</x:v>
      </x:c>
      <x:c r="I261" s="19" t="str">
        <x:v>DEPOSITO SPEI | JUAN PABLO DUEÑAS ARMENDARIZ | BBVA MEXICO 012040015559327743 | 3107260 juan pablo dueñas L24 M22 | CLAVE DE RASTREO MBAN01002608120091613163</x:v>
      </x:c>
      <x:c r="J261" s="21"/>
      <x:c r="K261" s="21" t="n">
        <x:v>2389</x:v>
      </x:c>
      <x:c r="L261" s="21" t="n">
        <x:v>191167.36</x:v>
      </x:c>
      <x:c r="M261" s="22" t="n">
        <x:v>25</x:v>
      </x:c>
    </x:row>
    <x:row r="262" ht="30" customHeight="1">
      <x:c r="A262" s="16" t="n">
        <x:v>46246</x:v>
      </x:c>
      <x:c r="B262" s="17" t="str">
        <x:v>4103366776</x:v>
      </x:c>
      <x:c r="C262" s="18" t="str">
        <x:v>DEPOSITO SPEI</x:v>
      </x:c>
      <x:c r="D262" s="18" t="str">
        <x:v>JOSE LUIS NARES MARTINEZ</x:v>
      </x:c>
      <x:c r="E262" s="18" t="str">
        <x:v>BANCOPPEL</x:v>
      </x:c>
      <x:c r="F262" s="17" t="str">
        <x:v>CTA 137040103377810342</x:v>
      </x:c>
      <x:c r="G262" s="19" t="str">
        <x:v>1208262 Transf. a renta carro</x:v>
      </x:c>
      <x:c r="H262" s="20" t="str">
        <x:v>RASTREO 50110342TRANSBPI86780385</x:v>
      </x:c>
      <x:c r="I262" s="19" t="str">
        <x:v>DEPOSITO SPEI | JOSE LUIS NARES MARTINEZ | BANCOPPEL 137040103377810342 | 1208262 Transf. a renta carro | CLAVE DE RASTREO 50110342TRANSBPI86780385</x:v>
      </x:c>
      <x:c r="J262" s="21"/>
      <x:c r="K262" s="21" t="n">
        <x:v>2400</x:v>
      </x:c>
      <x:c r="L262" s="21" t="n">
        <x:v>193567.36</x:v>
      </x:c>
      <x:c r="M262" s="22" t="n">
        <x:v>26</x:v>
      </x:c>
    </x:row>
    <x:row r="263" ht="30" customHeight="1">
      <x:c r="A263" s="16" t="n">
        <x:v>46247</x:v>
      </x:c>
      <x:c r="B263" s="17" t="str">
        <x:v>8202629152</x:v>
      </x:c>
      <x:c r="C263" s="18" t="str">
        <x:v>TRANSFERENCIA SPEI</x:v>
      </x:c>
      <x:c r="D263" s="18" t="str">
        <x:v>Jesica Lucia Nares Martinez</x:v>
      </x:c>
      <x:c r="E263" s="18" t="str">
        <x:v>BANAMEX</x:v>
      </x:c>
      <x:c r="F263" s="17" t="str">
        <x:v>CTA 5204166289290597</x:v>
      </x:c>
      <x:c r="G263" s="19" t="str">
        <x:v>20260813 Pago | 036NAPP13082026291524530 RFC NO DISPONIBLE</x:v>
      </x:c>
      <x:c r="H263" s="20" t="str"/>
      <x:c r="I263" s="19" t="str">
        <x:v>TRANSFERENCIA SPEI | Jesica Lucia Nares Martinez | BANAMEX 5204166289290597 | 20260813 Pago | 036NAPP13082026291524530 RFC NO DISPONIBLE</x:v>
      </x:c>
      <x:c r="J263" s="21" t="n">
        <x:v>10000</x:v>
      </x:c>
      <x:c r="K263" s="21"/>
      <x:c r="L263" s="21" t="n">
        <x:v>183567.36</x:v>
      </x:c>
      <x:c r="M263" s="22" t="n">
        <x:v>26</x:v>
      </x:c>
    </x:row>
    <x:row r="264" ht="30" customHeight="1">
      <x:c r="A264" s="16" t="n">
        <x:v>46247</x:v>
      </x:c>
      <x:c r="B264" s="17" t="str">
        <x:v>4103996617</x:v>
      </x:c>
      <x:c r="C264" s="18" t="str">
        <x:v>DEPOSITO SPEI</x:v>
      </x:c>
      <x:c r="D264" s="18" t="str">
        <x:v>JESUS ANTONIO FAUSTO ANGULO</x:v>
      </x:c>
      <x:c r="E264" s="18" t="str">
        <x:v>BBVA MEXICO</x:v>
      </x:c>
      <x:c r="F264" s="17" t="str">
        <x:v>CTA 012040015671997271</x:v>
      </x:c>
      <x:c r="G264" s="19" t="str">
        <x:v>3107260 jesus Antonio Fausto Angulo m7L4</x:v>
      </x:c>
      <x:c r="H264" s="20" t="str">
        <x:v>RASTREO MBAN01002608130094726657</x:v>
      </x:c>
      <x:c r="I264" s="19" t="str">
        <x:v>DEPOSITO SPEI | JESUS ANTONIO FAUSTO ANGULO | BBVA MEXICO 012040015671997271 | 3107260 jesus Antonio Fausto Angulo m7L4 | CLAVE DE RASTREO MBAN01002608130094726657</x:v>
      </x:c>
      <x:c r="J264" s="21"/>
      <x:c r="K264" s="21" t="n">
        <x:v>12067</x:v>
      </x:c>
      <x:c r="L264" s="21" t="n">
        <x:v>195634.36</x:v>
      </x:c>
      <x:c r="M264" s="22" t="n">
        <x:v>26</x:v>
      </x:c>
    </x:row>
    <x:row r="265" ht="30" customHeight="1">
      <x:c r="A265" s="16" t="n">
        <x:v>46247</x:v>
      </x:c>
      <x:c r="B265" s="17" t="str">
        <x:v>4104204428</x:v>
      </x:c>
      <x:c r="C265" s="18" t="str">
        <x:v>DEPOSITO SPEI</x:v>
      </x:c>
      <x:c r="D265" s="18" t="str">
        <x:v>EMMANUEL ALEJANDRO,OLACHEA/SILVA</x:v>
      </x:c>
      <x:c r="E265" s="18" t="str">
        <x:v>BANAMEX</x:v>
      </x:c>
      <x:c r="F265" s="17" t="str">
        <x:v>CTA 002040902801342942</x:v>
      </x:c>
      <x:c r="G265" s="19" t="str">
        <x:v>130826 PVD M18 L24</x:v>
      </x:c>
      <x:c r="H265" s="20" t="str">
        <x:v>RASTREO 085902642504322569</x:v>
      </x:c>
      <x:c r="I265" s="19" t="str">
        <x:v>DEPOSITO SPEI | EMMANUEL ALEJANDRO,OLACHEA/SILVA | BANAMEX 002040902801342942 | 130826 PVD M18 L24 | CLAVE DE RASTREO 085902642504322569</x:v>
      </x:c>
      <x:c r="J265" s="21"/>
      <x:c r="K265" s="21" t="n">
        <x:v>1500</x:v>
      </x:c>
      <x:c r="L265" s="21" t="n">
        <x:v>197134.36</x:v>
      </x:c>
      <x:c r="M265" s="22" t="n">
        <x:v>26</x:v>
      </x:c>
    </x:row>
    <x:row r="266" ht="30" customHeight="1">
      <x:c r="A266" s="16" t="n">
        <x:v>46247</x:v>
      </x:c>
      <x:c r="B266" s="17" t="str">
        <x:v>4104232343</x:v>
      </x:c>
      <x:c r="C266" s="18" t="str">
        <x:v>DEPOSITO SPEI</x:v>
      </x:c>
      <x:c r="D266" s="18" t="str">
        <x:v>DANA MARIA SCHMID .</x:v>
      </x:c>
      <x:c r="E266" s="18" t="str">
        <x:v>BANREGIO</x:v>
      </x:c>
      <x:c r="F266" s="17" t="str">
        <x:v>CTA 058320000152196109</x:v>
      </x:c>
      <x:c r="G266" s="19" t="str">
        <x:v>130826 Manzana 6 Lote 2 Daniel Garcia Lomeli</x:v>
      </x:c>
      <x:c r="H266" s="20" t="str">
        <x:v>RASTREO 058-13/08/2026/13-184ZNHO127</x:v>
      </x:c>
      <x:c r="I266" s="19" t="str">
        <x:v>DEPOSITO SPEI | DANA MARIA SCHMID . | BANREGIO 058320000152196109 | 130826 Manzana 6 Lote 2 Daniel Garcia Lomeli | CLAVE DE RASTREO 058-13/08/2026/13-184ZNHO127</x:v>
      </x:c>
      <x:c r="J266" s="21"/>
      <x:c r="K266" s="21" t="n">
        <x:v>2500</x:v>
      </x:c>
      <x:c r="L266" s="21" t="n">
        <x:v>199634.36</x:v>
      </x:c>
      <x:c r="M266" s="22" t="n">
        <x:v>26</x:v>
      </x:c>
    </x:row>
    <x:row r="267" ht="30" customHeight="1">
      <x:c r="A267" s="16" t="n">
        <x:v>46247</x:v>
      </x:c>
      <x:c r="B267" s="17" t="str">
        <x:v>4104411110</x:v>
      </x:c>
      <x:c r="C267" s="18" t="str">
        <x:v>LAS GARZAS MX</x:v>
      </x:c>
      <x:c r="D267" s="18" t="str"/>
      <x:c r="E267" s="18" t="str"/>
      <x:c r="F267" s="17" t="str"/>
      <x:c r="G267" s="19" t="str"/>
      <x:c r="H267" s="20" t="str"/>
      <x:c r="I267" s="19" t="str">
        <x:v>LAS GARZAS MX</x:v>
      </x:c>
      <x:c r="J267" s="21" t="n">
        <x:v>600</x:v>
      </x:c>
      <x:c r="K267" s="21"/>
      <x:c r="L267" s="21" t="n">
        <x:v>199034.36</x:v>
      </x:c>
      <x:c r="M267" s="22" t="n">
        <x:v>26</x:v>
      </x:c>
    </x:row>
    <x:row r="268" ht="30" customHeight="1">
      <x:c r="A268" s="16" t="n">
        <x:v>46247</x:v>
      </x:c>
      <x:c r="B268" s="17" t="str">
        <x:v>8202629170</x:v>
      </x:c>
      <x:c r="C268" s="18" t="str">
        <x:v>TRANSFERENCIA SPEI</x:v>
      </x:c>
      <x:c r="D268" s="18" t="str">
        <x:v>Efrén Peralta Guzman</x:v>
      </x:c>
      <x:c r="E268" s="18" t="str">
        <x:v>BBVA MEXICO</x:v>
      </x:c>
      <x:c r="F268" s="17" t="str">
        <x:v>CTA 012180015579460689</x:v>
      </x:c>
      <x:c r="G268" s="19" t="str">
        <x:v>20260813 Pago | 036NAPP13082026291701833 RFC NO DISPONIBLE</x:v>
      </x:c>
      <x:c r="H268" s="20" t="str"/>
      <x:c r="I268" s="19" t="str">
        <x:v>TRANSFERENCIA SPEI | Efrén Peralta Guzman | BBVA MEXICO 012180015579460689 | 20260813 Pago | 036NAPP13082026291701833 RFC NO DISPONIBLE</x:v>
      </x:c>
      <x:c r="J268" s="21" t="n">
        <x:v>60000</x:v>
      </x:c>
      <x:c r="K268" s="21"/>
      <x:c r="L268" s="21" t="n">
        <x:v>139034.36</x:v>
      </x:c>
      <x:c r="M268" s="22" t="n">
        <x:v>26</x:v>
      </x:c>
    </x:row>
    <x:row r="269" ht="30" customHeight="1">
      <x:c r="A269" s="16" t="n">
        <x:v>46247</x:v>
      </x:c>
      <x:c r="B269" s="17" t="str">
        <x:v>4105167846</x:v>
      </x:c>
      <x:c r="C269" s="18" t="str">
        <x:v>DEPOSITO SPEI</x:v>
      </x:c>
      <x:c r="D269" s="18" t="str">
        <x:v>DANIEL EDUARDO VAZQUEZ BARRERA</x:v>
      </x:c>
      <x:c r="E269" s="18" t="str">
        <x:v>BBVA MEXICO</x:v>
      </x:c>
      <x:c r="F269" s="17" t="str">
        <x:v>CTA 012580015757826001</x:v>
      </x:c>
      <x:c r="G269" s="19" t="str">
        <x:v>3107260 M6 L4 DANIEL EDUARDO</x:v>
      </x:c>
      <x:c r="H269" s="20" t="str">
        <x:v>RASTREO MBAN01002608140099299549</x:v>
      </x:c>
      <x:c r="I269" s="19" t="str">
        <x:v>DEPOSITO SPEI | DANIEL EDUARDO VAZQUEZ BARRERA | BBVA MEXICO 012580015757826001 | 3107260 M6 L4 DANIEL EDUARDO | CLAVE DE RASTREO MBAN01002608140099299549</x:v>
      </x:c>
      <x:c r="J269" s="21"/>
      <x:c r="K269" s="21" t="n">
        <x:v>1500</x:v>
      </x:c>
      <x:c r="L269" s="21" t="n">
        <x:v>140534.36</x:v>
      </x:c>
      <x:c r="M269" s="22" t="n">
        <x:v>26</x:v>
      </x:c>
    </x:row>
    <x:row r="270" ht="30" customHeight="1">
      <x:c r="A270" s="16" t="n">
        <x:v>46248</x:v>
      </x:c>
      <x:c r="B270" s="17" t="str">
        <x:v>4105692677</x:v>
      </x:c>
      <x:c r="C270" s="18" t="str">
        <x:v>DEPOSITO SPEI</x:v>
      </x:c>
      <x:c r="D270" s="18" t="str">
        <x:v>MARCOS HERNANDEZ MORALES</x:v>
      </x:c>
      <x:c r="E270" s="18" t="str">
        <x:v>BANORTE</x:v>
      </x:c>
      <x:c r="F270" s="17" t="str">
        <x:v>CTA 072261006873011576</x:v>
      </x:c>
      <x:c r="G270" s="19" t="str">
        <x:v>260814 L1M21 palo verde marcos hdz morales</x:v>
      </x:c>
      <x:c r="H270" s="20" t="str">
        <x:v>RASTREO 3843CP03202608145649522176</x:v>
      </x:c>
      <x:c r="I270" s="19" t="str">
        <x:v>DEPOSITO SPEI | MARCOS HERNANDEZ MORALES | BANORTE 072261006873011576 | 260814 L1M21 palo verde marcos hdz morales | CLAVE DE RASTREO 3843CP03202608145649522176</x:v>
      </x:c>
      <x:c r="J270" s="21"/>
      <x:c r="K270" s="21" t="n">
        <x:v>1500</x:v>
      </x:c>
      <x:c r="L270" s="21" t="n">
        <x:v>142034.36</x:v>
      </x:c>
      <x:c r="M270" s="22" t="n">
        <x:v>26</x:v>
      </x:c>
    </x:row>
    <x:row r="271" ht="30" customHeight="1">
      <x:c r="A271" s="16" t="n">
        <x:v>46248</x:v>
      </x:c>
      <x:c r="B271" s="17" t="str">
        <x:v>4105962564</x:v>
      </x:c>
      <x:c r="C271" s="18" t="str">
        <x:v>DEPOSITO SPEI</x:v>
      </x:c>
      <x:c r="D271" s="18" t="str">
        <x:v>JOSE FRANCISCO GAVIDIA DE LA PAZ</x:v>
      </x:c>
      <x:c r="E271" s="18" t="str">
        <x:v>BANCOPPEL</x:v>
      </x:c>
      <x:c r="F271" s="17" t="str">
        <x:v>CTA 137040102702800436</x:v>
      </x:c>
      <x:c r="G271" s="19" t="str">
        <x:v>1408260 m1 L8</x:v>
      </x:c>
      <x:c r="H271" s="20" t="str">
        <x:v>RASTREO 50110436TRANSBPI07937256</x:v>
      </x:c>
      <x:c r="I271" s="19" t="str">
        <x:v>DEPOSITO SPEI | JOSE FRANCISCO GAVIDIA DE LA PAZ | BANCOPPEL 137040102702800436 | 1408260 m1 L8 | CLAVE DE RASTREO 50110436TRANSBPI07937256</x:v>
      </x:c>
      <x:c r="J271" s="21"/>
      <x:c r="K271" s="21" t="n">
        <x:v>1500</x:v>
      </x:c>
      <x:c r="L271" s="21" t="n">
        <x:v>143534.36</x:v>
      </x:c>
      <x:c r="M271" s="22" t="n">
        <x:v>26</x:v>
      </x:c>
    </x:row>
    <x:row r="272" ht="30" customHeight="1">
      <x:c r="A272" s="16" t="n">
        <x:v>46248</x:v>
      </x:c>
      <x:c r="B272" s="17" t="str">
        <x:v>4105964706</x:v>
      </x:c>
      <x:c r="C272" s="18" t="str">
        <x:v>DEPOSITO SPEI</x:v>
      </x:c>
      <x:c r="D272" s="18" t="str">
        <x:v>JOSE FRANCISCO GAVIDIA DE LA PAZ</x:v>
      </x:c>
      <x:c r="E272" s="18" t="str">
        <x:v>BANCOPPEL</x:v>
      </x:c>
      <x:c r="F272" s="17" t="str">
        <x:v>CTA 137040102702800436</x:v>
      </x:c>
      <x:c r="G272" s="19" t="str">
        <x:v>1408261 M1 L8</x:v>
      </x:c>
      <x:c r="H272" s="20" t="str">
        <x:v>RASTREO 50110436TRANSBPI07955456</x:v>
      </x:c>
      <x:c r="I272" s="19" t="str">
        <x:v>DEPOSITO SPEI | JOSE FRANCISCO GAVIDIA DE LA PAZ | BANCOPPEL 137040102702800436 | 1408261 M1 L8 | CLAVE DE RASTREO 50110436TRANSBPI07955456</x:v>
      </x:c>
      <x:c r="J272" s="21"/>
      <x:c r="K272" s="21" t="n">
        <x:v>1500</x:v>
      </x:c>
      <x:c r="L272" s="21" t="n">
        <x:v>145034.36</x:v>
      </x:c>
      <x:c r="M272" s="22" t="n">
        <x:v>27</x:v>
      </x:c>
    </x:row>
    <x:row r="273" ht="30" customHeight="1">
      <x:c r="A273" s="16" t="n">
        <x:v>46248</x:v>
      </x:c>
      <x:c r="B273" s="17" t="str">
        <x:v>4106104041</x:v>
      </x:c>
      <x:c r="C273" s="18" t="str">
        <x:v>DEPOSITO SPEI</x:v>
      </x:c>
      <x:c r="D273" s="18" t="str">
        <x:v>JESUS GUADALUPE,CAMACHO/RUIZ</x:v>
      </x:c>
      <x:c r="E273" s="18" t="str">
        <x:v>BANAMEX</x:v>
      </x:c>
      <x:c r="F273" s="17" t="str">
        <x:v>CTA 002040903524974191</x:v>
      </x:c>
      <x:c r="G273" s="19" t="str">
        <x:v>140826 Jesus Guadalupe Camacho Ruiz M17L8 plv</x:v>
      </x:c>
      <x:c r="H273" s="20" t="str">
        <x:v>RASTREO 085903616384322665</x:v>
      </x:c>
      <x:c r="I273" s="19" t="str">
        <x:v>DEPOSITO SPEI | JESUS GUADALUPE,CAMACHO/RUIZ | BANAMEX 002040903524974191 | 140826 Jesus Guadalupe Camacho Ruiz M17L8 plv | CLAVE DE RASTREO 085903616384322665</x:v>
      </x:c>
      <x:c r="J273" s="21"/>
      <x:c r="K273" s="21" t="n">
        <x:v>2000</x:v>
      </x:c>
      <x:c r="L273" s="21" t="n">
        <x:v>147034.36</x:v>
      </x:c>
      <x:c r="M273" s="22" t="n">
        <x:v>27</x:v>
      </x:c>
    </x:row>
    <x:row r="274" ht="30" customHeight="1">
      <x:c r="A274" s="16" t="n">
        <x:v>46248</x:v>
      </x:c>
      <x:c r="B274" s="17" t="str">
        <x:v>4106110635</x:v>
      </x:c>
      <x:c r="C274" s="18" t="str">
        <x:v>DEPOSITO SPEI</x:v>
      </x:c>
      <x:c r="D274" s="18" t="str">
        <x:v>JESUS GUADALUPE,CAMACHO/RUIZ</x:v>
      </x:c>
      <x:c r="E274" s="18" t="str">
        <x:v>BANAMEX</x:v>
      </x:c>
      <x:c r="F274" s="17" t="str">
        <x:v>CTA 002040903524974191</x:v>
      </x:c>
      <x:c r="G274" s="19" t="str">
        <x:v>140826 Jesus Guadalupe Camacho Ruiz M18L19 plv</x:v>
      </x:c>
      <x:c r="H274" s="20" t="str">
        <x:v>RASTREO 085903667734322666</x:v>
      </x:c>
      <x:c r="I274" s="19" t="str">
        <x:v>DEPOSITO SPEI | JESUS GUADALUPE,CAMACHO/RUIZ | BANAMEX 002040903524974191 | 140826 Jesus Guadalupe Camacho Ruiz M18L19 plv | CLAVE DE RASTREO 085903667734322666</x:v>
      </x:c>
      <x:c r="J274" s="21"/>
      <x:c r="K274" s="21" t="n">
        <x:v>1500</x:v>
      </x:c>
      <x:c r="L274" s="21" t="n">
        <x:v>148534.36</x:v>
      </x:c>
      <x:c r="M274" s="22" t="n">
        <x:v>27</x:v>
      </x:c>
    </x:row>
    <x:row r="275" ht="30" customHeight="1">
      <x:c r="A275" s="16" t="n">
        <x:v>46248</x:v>
      </x:c>
      <x:c r="B275" s="17" t="str">
        <x:v>4106201172</x:v>
      </x:c>
      <x:c r="C275" s="18" t="str">
        <x:v>LA PAZ MARGARITA MAZA MX</x:v>
      </x:c>
      <x:c r="D275" s="18" t="str"/>
      <x:c r="E275" s="18" t="str"/>
      <x:c r="F275" s="17" t="str"/>
      <x:c r="G275" s="19" t="str"/>
      <x:c r="H275" s="20" t="str"/>
      <x:c r="I275" s="19" t="str">
        <x:v>LA PAZ MARGARITA MAZA MX</x:v>
      </x:c>
      <x:c r="J275" s="21" t="n">
        <x:v>391</x:v>
      </x:c>
      <x:c r="K275" s="21"/>
      <x:c r="L275" s="21" t="n">
        <x:v>148143.36</x:v>
      </x:c>
      <x:c r="M275" s="22" t="n">
        <x:v>27</x:v>
      </x:c>
    </x:row>
    <x:row r="276" ht="30" customHeight="1">
      <x:c r="A276" s="16" t="n">
        <x:v>46248</x:v>
      </x:c>
      <x:c r="B276" s="17" t="str">
        <x:v>4106201190</x:v>
      </x:c>
      <x:c r="C276" s="18" t="str">
        <x:v>SORIANA117 LA PAZ MX</x:v>
      </x:c>
      <x:c r="D276" s="18" t="str"/>
      <x:c r="E276" s="18" t="str"/>
      <x:c r="F276" s="17" t="str"/>
      <x:c r="G276" s="19" t="str"/>
      <x:c r="H276" s="20" t="str"/>
      <x:c r="I276" s="19" t="str">
        <x:v>SORIANA117 LA PAZ MX</x:v>
      </x:c>
      <x:c r="J276" s="21" t="n">
        <x:v>539.1</x:v>
      </x:c>
      <x:c r="K276" s="21"/>
      <x:c r="L276" s="21" t="n">
        <x:v>147604.26</x:v>
      </x:c>
      <x:c r="M276" s="22" t="n">
        <x:v>27</x:v>
      </x:c>
    </x:row>
    <x:row r="277" ht="30" customHeight="1">
      <x:c r="A277" s="16" t="n">
        <x:v>46248</x:v>
      </x:c>
      <x:c r="B277" s="17" t="str">
        <x:v>4106340537</x:v>
      </x:c>
      <x:c r="C277" s="18" t="str">
        <x:v>DEPOSITO SPEI</x:v>
      </x:c>
      <x:c r="D277" s="18" t="str">
        <x:v>BRISA MARLENE GONZALEZ MONDRAGON</x:v>
      </x:c>
      <x:c r="E277" s="18" t="str">
        <x:v>BBVA MEXICO</x:v>
      </x:c>
      <x:c r="F277" s="17" t="str">
        <x:v>CTA 012180015710771195</x:v>
      </x:c>
      <x:c r="G277" s="19" t="str">
        <x:v>2206260 palo verde manzana 16 lote 10</x:v>
      </x:c>
      <x:c r="H277" s="20" t="str">
        <x:v>RASTREO MBAN01002608140052514322</x:v>
      </x:c>
      <x:c r="I277" s="19" t="str">
        <x:v>DEPOSITO SPEI | BRISA MARLENE GONZALEZ MONDRAGON | BBVA MEXICO 012180015710771195 | 2206260 palo verde manzana 16 lote 10 | CLAVE DE RASTREO MBAN01002608140052514322</x:v>
      </x:c>
      <x:c r="J277" s="21"/>
      <x:c r="K277" s="21" t="n">
        <x:v>3361</x:v>
      </x:c>
      <x:c r="L277" s="21" t="n">
        <x:v>150965.26</x:v>
      </x:c>
      <x:c r="M277" s="22" t="n">
        <x:v>27</x:v>
      </x:c>
    </x:row>
    <x:row r="278" ht="30" customHeight="1">
      <x:c r="A278" s="16" t="n">
        <x:v>46248</x:v>
      </x:c>
      <x:c r="B278" s="17" t="str">
        <x:v>8202629193</x:v>
      </x:c>
      <x:c r="C278" s="18" t="str">
        <x:v>TRANSFERENCIA SPEI</x:v>
      </x:c>
      <x:c r="D278" s="18" t="str">
        <x:v>José Luis Arce Flores</x:v>
      </x:c>
      <x:c r="E278" s="18" t="str">
        <x:v>BANAMEX</x:v>
      </x:c>
      <x:c r="F278" s="17" t="str">
        <x:v>CTA 5204160413507281</x:v>
      </x:c>
      <x:c r="G278" s="19" t="str">
        <x:v>20260814 Pago | 036NAPP14082026291931944 RFC NO DISPONIBLE</x:v>
      </x:c>
      <x:c r="H278" s="20" t="str"/>
      <x:c r="I278" s="19" t="str">
        <x:v>TRANSFERENCIA SPEI | José Luis Arce Flores | BANAMEX 5204160413507281 | 20260814 Pago | 036NAPP14082026291931944 RFC NO DISPONIBLE</x:v>
      </x:c>
      <x:c r="J278" s="21" t="n">
        <x:v>17000</x:v>
      </x:c>
      <x:c r="K278" s="21"/>
      <x:c r="L278" s="21" t="n">
        <x:v>133965.26</x:v>
      </x:c>
      <x:c r="M278" s="22" t="n">
        <x:v>27</x:v>
      </x:c>
    </x:row>
    <x:row r="279" ht="30" customHeight="1">
      <x:c r="A279" s="16" t="n">
        <x:v>46248</x:v>
      </x:c>
      <x:c r="B279" s="17" t="str">
        <x:v>4106593395</x:v>
      </x:c>
      <x:c r="C279" s="18" t="str">
        <x:v>DEPOSITO SPEI</x:v>
      </x:c>
      <x:c r="D279" s="18" t="str">
        <x:v>LIZBETH LUCIA CATANEO FLORES</x:v>
      </x:c>
      <x:c r="E279" s="18" t="str">
        <x:v>SANTANDER</x:v>
      </x:c>
      <x:c r="F279" s="17" t="str">
        <x:v>CTA 014041567852006957</x:v>
      </x:c>
      <x:c r="G279" s="19" t="str">
        <x:v>140826 COMPLEMENTO ANUALIDAD M23 L2 LIZBETH CAT</x:v>
      </x:c>
      <x:c r="H279" s="20" t="str">
        <x:v>RASTREO 2026081440014BMOVP000401893400</x:v>
      </x:c>
      <x:c r="I279" s="19" t="str">
        <x:v>DEPOSITO SPEI | LIZBETH LUCIA CATANEO FLORES | SANTANDER 014041567852006957 | 140826 COMPLEMENTO ANUALIDAD M23 L2 LIZBETH CAT | CLAVE DE RASTREO 2026081440014BMOVP000401893400</x:v>
      </x:c>
      <x:c r="J279" s="21"/>
      <x:c r="K279" s="21" t="n">
        <x:v>667</x:v>
      </x:c>
      <x:c r="L279" s="21" t="n">
        <x:v>134632.26</x:v>
      </x:c>
      <x:c r="M279" s="22" t="n">
        <x:v>27</x:v>
      </x:c>
    </x:row>
    <x:row r="280" ht="30" customHeight="1">
      <x:c r="A280" s="16" t="n">
        <x:v>46248</x:v>
      </x:c>
      <x:c r="B280" s="17" t="str">
        <x:v>4106944649</x:v>
      </x:c>
      <x:c r="C280" s="18" t="str">
        <x:v>DEPOSITO SPEI</x:v>
      </x:c>
      <x:c r="D280" s="18" t="str">
        <x:v>MARIEL GUADALUPE MURGUIA OJEDA</x:v>
      </x:c>
      <x:c r="E280" s="18" t="str">
        <x:v>SANTANDER</x:v>
      </x:c>
      <x:c r="F280" s="17" t="str">
        <x:v>CTA 014040567002210345</x:v>
      </x:c>
      <x:c r="G280" s="19" t="str">
        <x:v>1805613 MZ28LT2</x:v>
      </x:c>
      <x:c r="H280" s="20" t="str">
        <x:v>RASTREO 2026081440014BMOVP000414886370</x:v>
      </x:c>
      <x:c r="I280" s="19" t="str">
        <x:v>DEPOSITO SPEI | MARIEL GUADALUPE MURGUIA OJEDA | SANTANDER 014040567002210345 | 1805613 MZ28LT2 | CLAVE DE RASTREO 2026081440014BMOVP000414886370</x:v>
      </x:c>
      <x:c r="J280" s="21"/>
      <x:c r="K280" s="21" t="n">
        <x:v>13333</x:v>
      </x:c>
      <x:c r="L280" s="21" t="n">
        <x:v>147965.26</x:v>
      </x:c>
      <x:c r="M280" s="22" t="n">
        <x:v>27</x:v>
      </x:c>
    </x:row>
    <x:row r="281" ht="30" customHeight="1">
      <x:c r="A281" s="16" t="n">
        <x:v>46248</x:v>
      </x:c>
      <x:c r="B281" s="17" t="str">
        <x:v>4106973803</x:v>
      </x:c>
      <x:c r="C281" s="18" t="str">
        <x:v>DEPOSITO SPEI</x:v>
      </x:c>
      <x:c r="D281" s="18" t="str">
        <x:v>ALMA ROSA AMADOR AMADOR</x:v>
      </x:c>
      <x:c r="E281" s="18" t="str">
        <x:v>SANTANDER</x:v>
      </x:c>
      <x:c r="F281" s="17" t="str">
        <x:v>CTA 014040566154807335</x:v>
      </x:c>
      <x:c r="G281" s="19" t="str">
        <x:v>6685580 TRANSFERENCIA A CARLOS AZAEL ARAUZA ROSA</x:v>
      </x:c>
      <x:c r="H281" s="20" t="str">
        <x:v>RASTREO 2026081440014BMOVP000416075730</x:v>
      </x:c>
      <x:c r="I281" s="19" t="str">
        <x:v>DEPOSITO SPEI | ALMA ROSA AMADOR AMADOR | SANTANDER 014040566154807335 | 6685580 TRANSFERENCIA A CARLOS AZAEL ARAUZA ROSA | CLAVE DE RASTREO 2026081440014BMOVP000416075730</x:v>
      </x:c>
      <x:c r="J281" s="21"/>
      <x:c r="K281" s="21" t="n">
        <x:v>1500</x:v>
      </x:c>
      <x:c r="L281" s="21" t="n">
        <x:v>149465.26</x:v>
      </x:c>
      <x:c r="M281" s="22" t="n">
        <x:v>27</x:v>
      </x:c>
    </x:row>
    <x:row r="282" ht="30" customHeight="1">
      <x:c r="A282" s="16" t="n">
        <x:v>46248</x:v>
      </x:c>
      <x:c r="B282" s="17" t="str">
        <x:v>8202629206</x:v>
      </x:c>
      <x:c r="C282" s="18" t="str">
        <x:v>TRANSFERENCIA SPEI</x:v>
      </x:c>
      <x:c r="D282" s="18" t="str">
        <x:v>NICOLAS RAMIREZ JAUREGUI</x:v>
      </x:c>
      <x:c r="E282" s="18" t="str">
        <x:v>AZTECA</x:v>
      </x:c>
      <x:c r="F282" s="17" t="str">
        <x:v>CTA 127040013310986896</x:v>
      </x:c>
      <x:c r="G282" s="19" t="str">
        <x:v>20260814 Pago | 036NAPP14082026292063752 RFC NO DISPONIBLE</x:v>
      </x:c>
      <x:c r="H282" s="20" t="str"/>
      <x:c r="I282" s="19" t="str">
        <x:v>TRANSFERENCIA SPEI | NICOLAS RAMIREZ JAUREGUI | AZTECA 127040013310986896 | 20260814 Pago | 036NAPP14082026292063752 RFC NO DISPONIBLE</x:v>
      </x:c>
      <x:c r="J282" s="21" t="n">
        <x:v>5700</x:v>
      </x:c>
      <x:c r="K282" s="21"/>
      <x:c r="L282" s="21" t="n">
        <x:v>143765.26</x:v>
      </x:c>
      <x:c r="M282" s="22" t="n">
        <x:v>27</x:v>
      </x:c>
    </x:row>
    <x:row r="283" ht="30" customHeight="1">
      <x:c r="A283" s="16" t="n">
        <x:v>46248</x:v>
      </x:c>
      <x:c r="B283" s="17" t="str">
        <x:v>8202629208</x:v>
      </x:c>
      <x:c r="C283" s="18" t="str">
        <x:v>TRANSFERENCIA SPEI</x:v>
      </x:c>
      <x:c r="D283" s="18" t="str">
        <x:v>Herrero</x:v>
      </x:c>
      <x:c r="E283" s="18" t="str">
        <x:v>BBVA MEXICO</x:v>
      </x:c>
      <x:c r="F283" s="17" t="str">
        <x:v>CTA 4152314459858950</x:v>
      </x:c>
      <x:c r="G283" s="19" t="str">
        <x:v>20260814 Pago | 036NAPP14082026292086706 RFC NO DISPONIBLE</x:v>
      </x:c>
      <x:c r="H283" s="20" t="str"/>
      <x:c r="I283" s="19" t="str">
        <x:v>TRANSFERENCIA SPEI | Herrero | BBVA MEXICO 4152314459858950 | 20260814 Pago | 036NAPP14082026292086706 RFC NO DISPONIBLE</x:v>
      </x:c>
      <x:c r="J283" s="21" t="n">
        <x:v>500</x:v>
      </x:c>
      <x:c r="K283" s="21"/>
      <x:c r="L283" s="21" t="n">
        <x:v>143265.26</x:v>
      </x:c>
      <x:c r="M283" s="22" t="n">
        <x:v>27</x:v>
      </x:c>
    </x:row>
    <x:row r="284" ht="30" customHeight="1">
      <x:c r="A284" s="16" t="n">
        <x:v>46248</x:v>
      </x:c>
      <x:c r="B284" s="17" t="str">
        <x:v>4107346766</x:v>
      </x:c>
      <x:c r="C284" s="18" t="str">
        <x:v>DEPOSITO SPEI</x:v>
      </x:c>
      <x:c r="D284" s="18" t="str">
        <x:v>CRISTINA SAUCEDO ESPINOZA</x:v>
      </x:c>
      <x:c r="E284" s="18" t="str">
        <x:v>BANORTE</x:v>
      </x:c>
      <x:c r="F284" s="17" t="str">
        <x:v>CTA 072041012851619502</x:v>
      </x:c>
      <x:c r="G284" s="19" t="str">
        <x:v>260814 pdvm22 L30</x:v>
      </x:c>
      <x:c r="H284" s="20" t="str">
        <x:v>RASTREO 38432P01202608145655170387</x:v>
      </x:c>
      <x:c r="I284" s="19" t="str">
        <x:v>DEPOSITO SPEI | CRISTINA SAUCEDO ESPINOZA | BANORTE 072041012851619502 | 260814 pdvm22 L30 | CLAVE DE RASTREO 38432P01202608145655170387</x:v>
      </x:c>
      <x:c r="J284" s="21"/>
      <x:c r="K284" s="21" t="n">
        <x:v>1500</x:v>
      </x:c>
      <x:c r="L284" s="21" t="n">
        <x:v>144765.26</x:v>
      </x:c>
      <x:c r="M284" s="22" t="n">
        <x:v>28</x:v>
      </x:c>
    </x:row>
    <x:row r="285" ht="30" customHeight="1">
      <x:c r="A285" s="16" t="n">
        <x:v>46248</x:v>
      </x:c>
      <x:c r="B285" s="17" t="str">
        <x:v>8202629208</x:v>
      </x:c>
      <x:c r="C285" s="18" t="str">
        <x:v>TRANSFERENCIA SPEI</x:v>
      </x:c>
      <x:c r="D285" s="18" t="str">
        <x:v>Efrén Peralta Guzman</x:v>
      </x:c>
      <x:c r="E285" s="18" t="str">
        <x:v>BBVA MEXICO</x:v>
      </x:c>
      <x:c r="F285" s="17" t="str">
        <x:v>CTA 012180015579460689</x:v>
      </x:c>
      <x:c r="G285" s="19" t="str">
        <x:v>20260814 Pago | 036NAPP14082026292086952 RFC NO DISPONIBLE</x:v>
      </x:c>
      <x:c r="H285" s="20" t="str"/>
      <x:c r="I285" s="19" t="str">
        <x:v>TRANSFERENCIA SPEI | Efrén Peralta Guzman | BBVA MEXICO 012180015579460689 | 20260814 Pago | 036NAPP14082026292086952 RFC NO DISPONIBLE</x:v>
      </x:c>
      <x:c r="J285" s="21" t="n">
        <x:v>24000</x:v>
      </x:c>
      <x:c r="K285" s="21"/>
      <x:c r="L285" s="21" t="n">
        <x:v>120765.26</x:v>
      </x:c>
      <x:c r="M285" s="22" t="n">
        <x:v>28</x:v>
      </x:c>
    </x:row>
    <x:row r="286" ht="30" customHeight="1">
      <x:c r="A286" s="16" t="n">
        <x:v>46249</x:v>
      </x:c>
      <x:c r="B286" s="17" t="str">
        <x:v>4107562688</x:v>
      </x:c>
      <x:c r="C286" s="18" t="str">
        <x:v>DEPOSITO SPEI</x:v>
      </x:c>
      <x:c r="D286" s="18" t="str">
        <x:v>JOAQUIN CARDENAS CARRANZA</x:v>
      </x:c>
      <x:c r="E286" s="18" t="str">
        <x:v>BANCOPPEL</x:v>
      </x:c>
      <x:c r="F286" s="17" t="str">
        <x:v>CTA 137730101165082526</x:v>
      </x:c>
      <x:c r="G286" s="19" t="str">
        <x:v>1508260 manana 8 lote 26 joaquin cardenas</x:v>
      </x:c>
      <x:c r="H286" s="20" t="str">
        <x:v>RASTREO 50112526TRANSBPI24024485</x:v>
      </x:c>
      <x:c r="I286" s="19" t="str">
        <x:v>DEPOSITO SPEI | JOAQUIN CARDENAS CARRANZA | BANCOPPEL 137730101165082526 | 1508260 manana 8 lote 26 joaquin cardenas | CLAVE DE RASTREO 50112526TRANSBPI24024485</x:v>
      </x:c>
      <x:c r="J286" s="21"/>
      <x:c r="K286" s="21" t="n">
        <x:v>2944</x:v>
      </x:c>
      <x:c r="L286" s="21" t="n">
        <x:v>123709.26</x:v>
      </x:c>
      <x:c r="M286" s="22" t="n">
        <x:v>28</x:v>
      </x:c>
    </x:row>
    <x:row r="287" ht="30" customHeight="1">
      <x:c r="A287" s="16" t="n">
        <x:v>46249</x:v>
      </x:c>
      <x:c r="B287" s="17" t="str">
        <x:v>4107605717</x:v>
      </x:c>
      <x:c r="C287" s="18" t="str">
        <x:v>DEPOSITO SPEI</x:v>
      </x:c>
      <x:c r="D287" s="18" t="str">
        <x:v>MARLENE URREA LOPEZ</x:v>
      </x:c>
      <x:c r="E287" s="18" t="str">
        <x:v>BBVA MEXICO</x:v>
      </x:c>
      <x:c r="F287" s="17" t="str">
        <x:v>CTA 012040015271384909</x:v>
      </x:c>
      <x:c r="G287" s="19" t="str">
        <x:v>3107260 marlene urrea</x:v>
      </x:c>
      <x:c r="H287" s="20" t="str">
        <x:v>RASTREO MBAN01002608170058197660</x:v>
      </x:c>
      <x:c r="I287" s="19" t="str">
        <x:v>DEPOSITO SPEI | MARLENE URREA LOPEZ | BBVA MEXICO 012040015271384909 | 3107260 marlene urrea | CLAVE DE RASTREO MBAN01002608170058197660</x:v>
      </x:c>
      <x:c r="J287" s="21"/>
      <x:c r="K287" s="21" t="n">
        <x:v>1500</x:v>
      </x:c>
      <x:c r="L287" s="21" t="n">
        <x:v>125209.26</x:v>
      </x:c>
      <x:c r="M287" s="22" t="n">
        <x:v>28</x:v>
      </x:c>
    </x:row>
    <x:row r="288" ht="30" customHeight="1">
      <x:c r="A288" s="16" t="n">
        <x:v>46249</x:v>
      </x:c>
      <x:c r="B288" s="17" t="str">
        <x:v>4107666052</x:v>
      </x:c>
      <x:c r="C288" s="18" t="str">
        <x:v>DEPOSITO SPEI</x:v>
      </x:c>
      <x:c r="D288" s="18" t="str">
        <x:v>CARLOS MANUEL MARTINEZ AMADOR</x:v>
      </x:c>
      <x:c r="E288" s="18" t="str">
        <x:v>BBVA MEXICO</x:v>
      </x:c>
      <x:c r="F288" s="17" t="str">
        <x:v>CTA 012040015242258598</x:v>
      </x:c>
      <x:c r="G288" s="19" t="str">
        <x:v>3107260 M-12 L5 CARLOS MANUEL MARTINEZ AMADOR</x:v>
      </x:c>
      <x:c r="H288" s="20" t="str">
        <x:v>RASTREO MBAN01002608170058535164</x:v>
      </x:c>
      <x:c r="I288" s="19" t="str">
        <x:v>DEPOSITO SPEI | CARLOS MANUEL MARTINEZ AMADOR | BBVA MEXICO 012040015242258598 | 3107260 M-12 L5 CARLOS MANUEL MARTINEZ AMADOR | CLAVE DE RASTREO MBAN01002608170058535164</x:v>
      </x:c>
      <x:c r="J288" s="21"/>
      <x:c r="K288" s="21" t="n">
        <x:v>1500</x:v>
      </x:c>
      <x:c r="L288" s="21" t="n">
        <x:v>126709.26</x:v>
      </x:c>
      <x:c r="M288" s="22" t="n">
        <x:v>28</x:v>
      </x:c>
    </x:row>
    <x:row r="289" ht="30" customHeight="1">
      <x:c r="A289" s="16" t="n">
        <x:v>46249</x:v>
      </x:c>
      <x:c r="B289" s="17" t="str">
        <x:v>4107674182</x:v>
      </x:c>
      <x:c r="C289" s="18" t="str">
        <x:v>DEPOSITO SPEI</x:v>
      </x:c>
      <x:c r="D289" s="18" t="str">
        <x:v>WENDY KARINA AVILES MORENO</x:v>
      </x:c>
      <x:c r="E289" s="18" t="str">
        <x:v>BANCOPPEL</x:v>
      </x:c>
      <x:c r="F289" s="17" t="str">
        <x:v>CTA 137061104058391511</x:v>
      </x:c>
      <x:c r="G289" s="19" t="str">
        <x:v>1508260 Mza. 12 lot. 35</x:v>
      </x:c>
      <x:c r="H289" s="20" t="str">
        <x:v>RASTREO 50111511TRANSBPI25391524</x:v>
      </x:c>
      <x:c r="I289" s="19" t="str">
        <x:v>DEPOSITO SPEI | WENDY KARINA AVILES MORENO | BANCOPPEL 137061104058391511 | 1508260 Mza. 12 lot. 35 | CLAVE DE RASTREO 50111511TRANSBPI25391524</x:v>
      </x:c>
      <x:c r="J289" s="21"/>
      <x:c r="K289" s="21" t="n">
        <x:v>1500</x:v>
      </x:c>
      <x:c r="L289" s="21" t="n">
        <x:v>128209.26</x:v>
      </x:c>
      <x:c r="M289" s="22" t="n">
        <x:v>28</x:v>
      </x:c>
    </x:row>
    <x:row r="290" ht="30" customHeight="1">
      <x:c r="A290" s="16" t="n">
        <x:v>46249</x:v>
      </x:c>
      <x:c r="B290" s="17" t="str">
        <x:v>4107691999</x:v>
      </x:c>
      <x:c r="C290" s="18" t="str">
        <x:v>DEPOSITO SPEI</x:v>
      </x:c>
      <x:c r="D290" s="18" t="str">
        <x:v>HECTOR ARTURO KESTLER LARA</x:v>
      </x:c>
      <x:c r="E290" s="18" t="str">
        <x:v>BANORTE</x:v>
      </x:c>
      <x:c r="F290" s="17" t="str">
        <x:v>CTA 072041010782736446</x:v>
      </x:c>
      <x:c r="G290" s="19" t="str">
        <x:v>260815 pago agosto M26 L12</x:v>
      </x:c>
      <x:c r="H290" s="20" t="str">
        <x:v>RASTREO 3843CP05202608155656218624</x:v>
      </x:c>
      <x:c r="I290" s="19" t="str">
        <x:v>DEPOSITO SPEI | HECTOR ARTURO KESTLER LARA | BANORTE 072041010782736446 | 260815 pago agosto M26 L12 | CLAVE DE RASTREO 3843CP05202608155656218624</x:v>
      </x:c>
      <x:c r="J290" s="21"/>
      <x:c r="K290" s="21" t="n">
        <x:v>2389</x:v>
      </x:c>
      <x:c r="L290" s="21" t="n">
        <x:v>130598.26</x:v>
      </x:c>
      <x:c r="M290" s="22" t="n">
        <x:v>28</x:v>
      </x:c>
    </x:row>
    <x:row r="291" ht="30" customHeight="1">
      <x:c r="A291" s="16" t="n">
        <x:v>46249</x:v>
      </x:c>
      <x:c r="B291" s="17" t="str">
        <x:v>4107721469</x:v>
      </x:c>
      <x:c r="C291" s="18" t="str">
        <x:v>DEPOSITO SPEI</x:v>
      </x:c>
      <x:c r="D291" s="18" t="str">
        <x:v>ADRIANA CAROLINA BAÑUELOS MILAN</x:v>
      </x:c>
      <x:c r="E291" s="18" t="str">
        <x:v>BBVA MEXICO</x:v>
      </x:c>
      <x:c r="F291" s="17" t="str">
        <x:v>CTA 012040015485228521</x:v>
      </x:c>
      <x:c r="G291" s="19" t="str">
        <x:v>3107260 Adriana Carolina Bañuelos Milan L4M22</x:v>
      </x:c>
      <x:c r="H291" s="20" t="str">
        <x:v>RASTREO MBAN01002608170058888935</x:v>
      </x:c>
      <x:c r="I291" s="19" t="str">
        <x:v>DEPOSITO SPEI | ADRIANA CAROLINA BAÑUELOS MILAN | BBVA MEXICO 012040015485228521 | 3107260 Adriana Carolina Bañuelos Milan L4M22 | CLAVE DE RASTREO MBAN01002608170058888935</x:v>
      </x:c>
      <x:c r="J291" s="21"/>
      <x:c r="K291" s="21" t="n">
        <x:v>1500</x:v>
      </x:c>
      <x:c r="L291" s="21" t="n">
        <x:v>132098.26</x:v>
      </x:c>
      <x:c r="M291" s="22" t="n">
        <x:v>28</x:v>
      </x:c>
    </x:row>
    <x:row r="292" ht="30" customHeight="1">
      <x:c r="A292" s="16" t="n">
        <x:v>46249</x:v>
      </x:c>
      <x:c r="B292" s="17" t="str">
        <x:v>4107730224</x:v>
      </x:c>
      <x:c r="C292" s="18" t="str">
        <x:v>DEPOSITO SPEI</x:v>
      </x:c>
      <x:c r="D292" s="18" t="str">
        <x:v>LORENA ELIZABETH LEON GREEN</x:v>
      </x:c>
      <x:c r="E292" s="18" t="str">
        <x:v>BBVA MEXICO</x:v>
      </x:c>
      <x:c r="F292" s="17" t="str">
        <x:v>CTA 012040015282671245</x:v>
      </x:c>
      <x:c r="G292" s="19" t="str">
        <x:v>3107260 Anualidad PV 21L4</x:v>
      </x:c>
      <x:c r="H292" s="20" t="str">
        <x:v>RASTREO MBAN01002608170058944988</x:v>
      </x:c>
      <x:c r="I292" s="19" t="str">
        <x:v>DEPOSITO SPEI | LORENA ELIZABETH LEON GREEN | BBVA MEXICO 012040015282671245 | 3107260 Anualidad PV 21L4 | CLAVE DE RASTREO MBAN01002608170058944988</x:v>
      </x:c>
      <x:c r="J292" s="21"/>
      <x:c r="K292" s="21" t="n">
        <x:v>10666</x:v>
      </x:c>
      <x:c r="L292" s="21" t="n">
        <x:v>142764.26</x:v>
      </x:c>
      <x:c r="M292" s="22" t="n">
        <x:v>28</x:v>
      </x:c>
    </x:row>
    <x:row r="293" ht="30" customHeight="1">
      <x:c r="A293" s="16" t="n">
        <x:v>46249</x:v>
      </x:c>
      <x:c r="B293" s="17" t="str">
        <x:v>4107744595</x:v>
      </x:c>
      <x:c r="C293" s="18" t="str">
        <x:v>DEPOSITO SPEI</x:v>
      </x:c>
      <x:c r="D293" s="18" t="str">
        <x:v>ELIZABETH RUBIO AVILA</x:v>
      </x:c>
      <x:c r="E293" s="18" t="str">
        <x:v>BANORTE</x:v>
      </x:c>
      <x:c r="F293" s="17" t="str">
        <x:v>CTA 072045011825193242</x:v>
      </x:c>
      <x:c r="G293" s="19" t="str">
        <x:v>260815 Mz14Lote2 Elizabeth Rubio Avila</x:v>
      </x:c>
      <x:c r="H293" s="20" t="str">
        <x:v>RASTREO 38432P06202608155656431183</x:v>
      </x:c>
      <x:c r="I293" s="19" t="str">
        <x:v>DEPOSITO SPEI | ELIZABETH RUBIO AVILA | BANORTE 072045011825193242 | 260815 Mz14Lote2 Elizabeth Rubio Avila | CLAVE DE RASTREO 38432P06202608155656431183</x:v>
      </x:c>
      <x:c r="J293" s="21"/>
      <x:c r="K293" s="21" t="n">
        <x:v>1500</x:v>
      </x:c>
      <x:c r="L293" s="21" t="n">
        <x:v>144264.26</x:v>
      </x:c>
      <x:c r="M293" s="22" t="n">
        <x:v>28</x:v>
      </x:c>
    </x:row>
    <x:row r="294" ht="30" customHeight="1">
      <x:c r="A294" s="16" t="n">
        <x:v>46249</x:v>
      </x:c>
      <x:c r="B294" s="17" t="str">
        <x:v>4107746181</x:v>
      </x:c>
      <x:c r="C294" s="18" t="str">
        <x:v>DEPOSITO SPEI</x:v>
      </x:c>
      <x:c r="D294" s="18" t="str">
        <x:v>ELIZABETH RUBIO AVILA</x:v>
      </x:c>
      <x:c r="E294" s="18" t="str">
        <x:v>BANORTE</x:v>
      </x:c>
      <x:c r="F294" s="17" t="str">
        <x:v>CTA 072045011825193242</x:v>
      </x:c>
      <x:c r="G294" s="19" t="str">
        <x:v>260815 Mz23Lote6 Ma Rosario vila Sandoval</x:v>
      </x:c>
      <x:c r="H294" s="20" t="str">
        <x:v>RASTREO 38432P01202608155656437143</x:v>
      </x:c>
      <x:c r="I294" s="19" t="str">
        <x:v>DEPOSITO SPEI | ELIZABETH RUBIO AVILA | BANORTE 072045011825193242 | 260815 Mz23Lote6 Ma Rosario vila Sandoval | CLAVE DE RASTREO 38432P01202608155656437143</x:v>
      </x:c>
      <x:c r="J294" s="21"/>
      <x:c r="K294" s="21" t="n">
        <x:v>1500</x:v>
      </x:c>
      <x:c r="L294" s="21" t="n">
        <x:v>145764.26</x:v>
      </x:c>
      <x:c r="M294" s="22" t="n">
        <x:v>29</x:v>
      </x:c>
    </x:row>
    <x:row r="295" ht="30" customHeight="1">
      <x:c r="A295" s="16" t="n">
        <x:v>46249</x:v>
      </x:c>
      <x:c r="B295" s="17" t="str">
        <x:v>4107794506</x:v>
      </x:c>
      <x:c r="C295" s="18" t="str">
        <x:v>DEPOSITO SPEI</x:v>
      </x:c>
      <x:c r="D295" s="18" t="str">
        <x:v>JUAN PABLO BLAKE ALTAMIRA</x:v>
      </x:c>
      <x:c r="E295" s="18" t="str">
        <x:v>BBVA MEXICO</x:v>
      </x:c>
      <x:c r="F295" s="17" t="str">
        <x:v>CTA 012041015412450332</x:v>
      </x:c>
      <x:c r="G295" s="19" t="str">
        <x:v>3107260 renta kia</x:v>
      </x:c>
      <x:c r="H295" s="20" t="str">
        <x:v>RASTREO MBAN01002608170059355340</x:v>
      </x:c>
      <x:c r="I295" s="19" t="str">
        <x:v>DEPOSITO SPEI | JUAN PABLO BLAKE ALTAMIRA | BBVA MEXICO 012041015412450332 | 3107260 renta kia | CLAVE DE RASTREO MBAN01002608170059355340</x:v>
      </x:c>
      <x:c r="J295" s="21"/>
      <x:c r="K295" s="21" t="n">
        <x:v>3000</x:v>
      </x:c>
      <x:c r="L295" s="21" t="n">
        <x:v>148764.26</x:v>
      </x:c>
      <x:c r="M295" s="22" t="n">
        <x:v>29</x:v>
      </x:c>
    </x:row>
    <x:row r="296" ht="30" customHeight="1">
      <x:c r="A296" s="16" t="n">
        <x:v>46249</x:v>
      </x:c>
      <x:c r="B296" s="17" t="str">
        <x:v>4107834560</x:v>
      </x:c>
      <x:c r="C296" s="18" t="str">
        <x:v>DEPOSITO SPEI</x:v>
      </x:c>
      <x:c r="D296" s="18" t="str">
        <x:v>LEON ROMERO GERARDO</x:v>
      </x:c>
      <x:c r="E296" s="18" t="str">
        <x:v>AZTECA</x:v>
      </x:c>
      <x:c r="F296" s="17" t="str">
        <x:v>CTA 127040013037413037</x:v>
      </x:c>
      <x:c r="G296" s="19" t="str">
        <x:v>1059321 M12L34</x:v>
      </x:c>
      <x:c r="H296" s="20" t="str">
        <x:v>RASTREO 260817070685718121I</x:v>
      </x:c>
      <x:c r="I296" s="19" t="str">
        <x:v>DEPOSITO SPEI | LEON ROMERO GERARDO | AZTECA 127040013037413037 | 1059321 M12L34 | CLAVE DE RASTREO 260817070685718121I</x:v>
      </x:c>
      <x:c r="J296" s="21"/>
      <x:c r="K296" s="21" t="n">
        <x:v>1500</x:v>
      </x:c>
      <x:c r="L296" s="21" t="n">
        <x:v>150264.26</x:v>
      </x:c>
      <x:c r="M296" s="22" t="n">
        <x:v>29</x:v>
      </x:c>
    </x:row>
    <x:row r="297" ht="30" customHeight="1">
      <x:c r="A297" s="16" t="n">
        <x:v>46249</x:v>
      </x:c>
      <x:c r="B297" s="17" t="str">
        <x:v>4107878469</x:v>
      </x:c>
      <x:c r="C297" s="18" t="str">
        <x:v>SUP LA PAZ 5 DE FEBRER MX</x:v>
      </x:c>
      <x:c r="D297" s="18" t="str"/>
      <x:c r="E297" s="18" t="str"/>
      <x:c r="F297" s="17" t="str"/>
      <x:c r="G297" s="19" t="str"/>
      <x:c r="H297" s="20" t="str"/>
      <x:c r="I297" s="19" t="str">
        <x:v>SUP LA PAZ 5 DE FEBRER MX</x:v>
      </x:c>
      <x:c r="J297" s="21" t="n">
        <x:v>789.85</x:v>
      </x:c>
      <x:c r="K297" s="21"/>
      <x:c r="L297" s="21" t="n">
        <x:v>149474.41</x:v>
      </x:c>
      <x:c r="M297" s="22" t="n">
        <x:v>29</x:v>
      </x:c>
    </x:row>
    <x:row r="298" ht="30" customHeight="1">
      <x:c r="A298" s="16" t="n">
        <x:v>46249</x:v>
      </x:c>
      <x:c r="B298" s="17" t="str">
        <x:v>4107941581</x:v>
      </x:c>
      <x:c r="C298" s="18" t="str">
        <x:v>DEPOSITO SPEI</x:v>
      </x:c>
      <x:c r="D298" s="18" t="str">
        <x:v>MARIA DEL ROSARIO,FLORES/TOLEDO</x:v>
      </x:c>
      <x:c r="E298" s="18" t="str">
        <x:v>BANAMEX</x:v>
      </x:c>
      <x:c r="F298" s="17" t="str">
        <x:v>CTA 002040701268225861</x:v>
      </x:c>
      <x:c r="G298" s="19" t="str">
        <x:v>150826 Transferencia interbancaria</x:v>
      </x:c>
      <x:c r="H298" s="20" t="str">
        <x:v>RASTREO 085903410884322765</x:v>
      </x:c>
      <x:c r="I298" s="19" t="str">
        <x:v>DEPOSITO SPEI | MARIA DEL ROSARIO,FLORES/TOLEDO | BANAMEX 002040701268225861 | 150826 Transferencia interbancaria | CLAVE DE RASTREO 085903410884322765</x:v>
      </x:c>
      <x:c r="J298" s="21"/>
      <x:c r="K298" s="21" t="n">
        <x:v>3000</x:v>
      </x:c>
      <x:c r="L298" s="21" t="n">
        <x:v>152474.41</x:v>
      </x:c>
      <x:c r="M298" s="22" t="n">
        <x:v>29</x:v>
      </x:c>
    </x:row>
    <x:row r="299" ht="30" customHeight="1">
      <x:c r="A299" s="16" t="n">
        <x:v>46249</x:v>
      </x:c>
      <x:c r="B299" s="17" t="str">
        <x:v>4107948185</x:v>
      </x:c>
      <x:c r="C299" s="18" t="str">
        <x:v>DEPOSITO SPEI</x:v>
      </x:c>
      <x:c r="D299" s="18" t="str">
        <x:v>MARTIN OSUNA ONTIVEROS</x:v>
      </x:c>
      <x:c r="E299" s="18" t="str">
        <x:v>Mercado Pago W</x:v>
      </x:c>
      <x:c r="F299" s="17" t="str">
        <x:v>CTA 722969010704964181</x:v>
      </x:c>
      <x:c r="G299" s="19" t="str">
        <x:v>8634726 PVD M7 L13 Martin Osuna Ontiveros</x:v>
      </x:c>
      <x:c r="H299" s="20" t="str">
        <x:v>RASTREO CPO174018634726</x:v>
      </x:c>
      <x:c r="I299" s="19" t="str">
        <x:v>DEPOSITO SPEI | MARTIN OSUNA ONTIVEROS | Mercado Pago W 722969010704964181 | 8634726 PVD M7 L13 Martin Osuna Ontiveros | CLAVE DE RASTREO CPO174018634726</x:v>
      </x:c>
      <x:c r="J299" s="21"/>
      <x:c r="K299" s="21" t="n">
        <x:v>2000</x:v>
      </x:c>
      <x:c r="L299" s="21" t="n">
        <x:v>154474.41</x:v>
      </x:c>
      <x:c r="M299" s="22" t="n">
        <x:v>29</x:v>
      </x:c>
    </x:row>
    <x:row r="300" ht="30" customHeight="1">
      <x:c r="A300" s="16" t="n">
        <x:v>46249</x:v>
      </x:c>
      <x:c r="B300" s="17" t="str">
        <x:v>4107954122</x:v>
      </x:c>
      <x:c r="C300" s="18" t="str">
        <x:v>DEPOSITO SPEI</x:v>
      </x:c>
      <x:c r="D300" s="18" t="str">
        <x:v>REYNA MARIANA ARROYO MARTINEZ</x:v>
      </x:c>
      <x:c r="E300" s="18" t="str">
        <x:v>BBVA MEXICO</x:v>
      </x:c>
      <x:c r="F300" s="17" t="str">
        <x:v>CTA 012045014194981171</x:v>
      </x:c>
      <x:c r="G300" s="19" t="str">
        <x:v>3107260 MZ 13 L8 PV 17-72</x:v>
      </x:c>
      <x:c r="H300" s="20" t="str">
        <x:v>RASTREO MBAN01002608170059983004</x:v>
      </x:c>
      <x:c r="I300" s="19" t="str">
        <x:v>DEPOSITO SPEI | REYNA MARIANA ARROYO MARTINEZ | BBVA MEXICO 012045014194981171 | 3107260 MZ 13 L8 PV 17-72 | CLAVE DE RASTREO MBAN01002608170059983004</x:v>
      </x:c>
      <x:c r="J300" s="21"/>
      <x:c r="K300" s="21" t="n">
        <x:v>3214</x:v>
      </x:c>
      <x:c r="L300" s="21" t="n">
        <x:v>157688.41</x:v>
      </x:c>
      <x:c r="M300" s="22" t="n">
        <x:v>29</x:v>
      </x:c>
    </x:row>
    <x:row r="301" ht="30" customHeight="1">
      <x:c r="A301" s="16" t="n">
        <x:v>46249</x:v>
      </x:c>
      <x:c r="B301" s="17" t="str">
        <x:v>4107963604</x:v>
      </x:c>
      <x:c r="C301" s="18" t="str">
        <x:v>DEPOSITO SPEI</x:v>
      </x:c>
      <x:c r="D301" s="18" t="str">
        <x:v>MARTIN OSUNA ONTIVEROS</x:v>
      </x:c>
      <x:c r="E301" s="18" t="str">
        <x:v>Mercado Pago W</x:v>
      </x:c>
      <x:c r="F301" s="17" t="str">
        <x:v>CTA 722969010704964181</x:v>
      </x:c>
      <x:c r="G301" s="19" t="str">
        <x:v>8593548 PVD M7 L14 Martin Osuna Ontiveros</x:v>
      </x:c>
      <x:c r="H301" s="20" t="str">
        <x:v>RASTREO CPO174018593548</x:v>
      </x:c>
      <x:c r="I301" s="19" t="str">
        <x:v>DEPOSITO SPEI | MARTIN OSUNA ONTIVEROS | Mercado Pago W 722969010704964181 | 8593548 PVD M7 L14 Martin Osuna Ontiveros | CLAVE DE RASTREO CPO174018593548</x:v>
      </x:c>
      <x:c r="J301" s="21"/>
      <x:c r="K301" s="21" t="n">
        <x:v>2000</x:v>
      </x:c>
      <x:c r="L301" s="21" t="n">
        <x:v>159688.41</x:v>
      </x:c>
      <x:c r="M301" s="22" t="n">
        <x:v>29</x:v>
      </x:c>
    </x:row>
    <x:row r="302" ht="30" customHeight="1">
      <x:c r="A302" s="16" t="n">
        <x:v>46249</x:v>
      </x:c>
      <x:c r="B302" s="17" t="str">
        <x:v>4108013905</x:v>
      </x:c>
      <x:c r="C302" s="18" t="str">
        <x:v>DEPOSITO SPEI</x:v>
      </x:c>
      <x:c r="D302" s="18" t="str">
        <x:v>SERGIO LOPEZ AGUILAR</x:v>
      </x:c>
      <x:c r="E302" s="18" t="str">
        <x:v>BBVA MEXICO</x:v>
      </x:c>
      <x:c r="F302" s="17" t="str">
        <x:v>CTA 012180015777833348</x:v>
      </x:c>
      <x:c r="G302" s="19" t="str">
        <x:v>3107260 PDV M5 - L12</x:v>
      </x:c>
      <x:c r="H302" s="20" t="str">
        <x:v>RASTREO MBAN01002608170060170785</x:v>
      </x:c>
      <x:c r="I302" s="19" t="str">
        <x:v>DEPOSITO SPEI | SERGIO LOPEZ AGUILAR | BBVA MEXICO 012180015777833348 | 3107260 PDV M5 - L12 | CLAVE DE RASTREO MBAN01002608170060170785</x:v>
      </x:c>
      <x:c r="J302" s="21"/>
      <x:c r="K302" s="21" t="n">
        <x:v>1500</x:v>
      </x:c>
      <x:c r="L302" s="21" t="n">
        <x:v>161188.41</x:v>
      </x:c>
      <x:c r="M302" s="22" t="n">
        <x:v>29</x:v>
      </x:c>
    </x:row>
    <x:row r="303" ht="30" customHeight="1">
      <x:c r="A303" s="16" t="n">
        <x:v>46249</x:v>
      </x:c>
      <x:c r="B303" s="17" t="str">
        <x:v>4108055143</x:v>
      </x:c>
      <x:c r="C303" s="18" t="str">
        <x:v>DEPOSITO SPEI</x:v>
      </x:c>
      <x:c r="D303" s="18" t="str">
        <x:v>PAUL MICHEL GACHUZ OSORIO</x:v>
      </x:c>
      <x:c r="E303" s="18" t="str">
        <x:v>HSBC</x:v>
      </x:c>
      <x:c r="F303" s="17" t="str">
        <x:v>CTA 021040066153009083</x:v>
      </x:c>
      <x:c r="G303" s="19" t="str">
        <x:v>24 M12 L18 PAUL GACHUZ</x:v>
      </x:c>
      <x:c r="H303" s="20" t="str">
        <x:v>RASTREO HSBC712134</x:v>
      </x:c>
      <x:c r="I303" s="19" t="str">
        <x:v>DEPOSITO SPEI | PAUL MICHEL GACHUZ OSORIO | HSBC 021040066153009083 | 24 M12 L18 PAUL GACHUZ | CLAVE DE RASTREO HSBC712134</x:v>
      </x:c>
      <x:c r="J303" s="21"/>
      <x:c r="K303" s="21" t="n">
        <x:v>2945</x:v>
      </x:c>
      <x:c r="L303" s="21" t="n">
        <x:v>164133.41</x:v>
      </x:c>
      <x:c r="M303" s="22" t="n">
        <x:v>29</x:v>
      </x:c>
    </x:row>
    <x:row r="304" ht="30" customHeight="1">
      <x:c r="A304" s="16" t="n">
        <x:v>46249</x:v>
      </x:c>
      <x:c r="B304" s="17" t="str">
        <x:v>8202629220</x:v>
      </x:c>
      <x:c r="C304" s="18" t="str">
        <x:v>TRANSFERENCIA SPEI</x:v>
      </x:c>
      <x:c r="D304" s="18" t="str">
        <x:v>Juan Manuel Lopez</x:v>
      </x:c>
      <x:c r="E304" s="18" t="str">
        <x:v>BBVA MEXICO</x:v>
      </x:c>
      <x:c r="F304" s="17" t="str">
        <x:v>CTA 4152314146153922</x:v>
      </x:c>
      <x:c r="G304" s="19" t="str">
        <x:v>20260815 Pago | 036NAPP15082026292208932 RFC NO DISPONIBLE</x:v>
      </x:c>
      <x:c r="H304" s="20" t="str"/>
      <x:c r="I304" s="19" t="str">
        <x:v>TRANSFERENCIA SPEI | Juan Manuel Lopez | BBVA MEXICO 4152314146153922 | 20260815 Pago | 036NAPP15082026292208932 RFC NO DISPONIBLE</x:v>
      </x:c>
      <x:c r="J304" s="21" t="n">
        <x:v>5500</x:v>
      </x:c>
      <x:c r="K304" s="21"/>
      <x:c r="L304" s="21" t="n">
        <x:v>158633.41</x:v>
      </x:c>
      <x:c r="M304" s="22" t="n">
        <x:v>29</x:v>
      </x:c>
    </x:row>
    <x:row r="305" ht="30" customHeight="1">
      <x:c r="A305" s="16" t="n">
        <x:v>46249</x:v>
      </x:c>
      <x:c r="B305" s="17" t="str">
        <x:v>8202629220</x:v>
      </x:c>
      <x:c r="C305" s="18" t="str">
        <x:v>TRANSFERENCIA SPEI</x:v>
      </x:c>
      <x:c r="D305" s="18" t="str">
        <x:v>Máquina Cobra Rápido</x:v>
      </x:c>
      <x:c r="E305" s="18" t="str">
        <x:v>BANAMEX</x:v>
      </x:c>
      <x:c r="F305" s="17" t="str">
        <x:v>CTA 5204160400755034</x:v>
      </x:c>
      <x:c r="G305" s="19" t="str">
        <x:v>20260815 Pago | 036NAPP15082026292209212 RFC NO DISPONIBLE</x:v>
      </x:c>
      <x:c r="H305" s="20" t="str"/>
      <x:c r="I305" s="19" t="str">
        <x:v>TRANSFERENCIA SPEI | Máquina Cobra Rápido | BANAMEX 5204160400755034 | 20260815 Pago | 036NAPP15082026292209212 RFC NO DISPONIBLE</x:v>
      </x:c>
      <x:c r="J305" s="21" t="n">
        <x:v>16100</x:v>
      </x:c>
      <x:c r="K305" s="21"/>
      <x:c r="L305" s="21" t="n">
        <x:v>142533.41</x:v>
      </x:c>
      <x:c r="M305" s="22" t="n">
        <x:v>30</x:v>
      </x:c>
    </x:row>
    <x:row r="306" ht="30" customHeight="1">
      <x:c r="A306" s="16" t="n">
        <x:v>46249</x:v>
      </x:c>
      <x:c r="B306" s="17" t="str">
        <x:v>4108172396</x:v>
      </x:c>
      <x:c r="C306" s="18" t="str">
        <x:v>DEPOSITO SPEI</x:v>
      </x:c>
      <x:c r="D306" s="18" t="str">
        <x:v>CRISTIAN ADAIR MORALES GALVEZ</x:v>
      </x:c>
      <x:c r="E306" s="18" t="str">
        <x:v>SANTANDER</x:v>
      </x:c>
      <x:c r="F306" s="17" t="str">
        <x:v>CTA 014041568582409894</x:v>
      </x:c>
      <x:c r="G306" s="19" t="str">
        <x:v>1683040 M21 L21 CRISTIAN MORALES</x:v>
      </x:c>
      <x:c r="H306" s="20" t="str">
        <x:v>RASTREO 2026081540014BMOVP000456848360</x:v>
      </x:c>
      <x:c r="I306" s="19" t="str">
        <x:v>DEPOSITO SPEI | CRISTIAN ADAIR MORALES GALVEZ | SANTANDER 014041568582409894 | 1683040 M21 L21 CRISTIAN MORALES | CLAVE DE RASTREO 2026081540014BMOVP000456848360</x:v>
      </x:c>
      <x:c r="J306" s="21"/>
      <x:c r="K306" s="21" t="n">
        <x:v>1500</x:v>
      </x:c>
      <x:c r="L306" s="21" t="n">
        <x:v>144033.41</x:v>
      </x:c>
      <x:c r="M306" s="22" t="n">
        <x:v>30</x:v>
      </x:c>
    </x:row>
    <x:row r="307" ht="30" customHeight="1">
      <x:c r="A307" s="16" t="n">
        <x:v>46249</x:v>
      </x:c>
      <x:c r="B307" s="17" t="str">
        <x:v>4108235551</x:v>
      </x:c>
      <x:c r="C307" s="18" t="str">
        <x:v>DEPOSITO SPEI</x:v>
      </x:c>
      <x:c r="D307" s="18" t="str">
        <x:v>JOSE RODOLFO,LOPEZ/TRASVI@A</x:v>
      </x:c>
      <x:c r="E307" s="18" t="str">
        <x:v>BANAMEX</x:v>
      </x:c>
      <x:c r="F307" s="17" t="str">
        <x:v>CTA 002040701962636578</x:v>
      </x:c>
      <x:c r="G307" s="19" t="str">
        <x:v>150826 Pago M16 L2 Jose Rodolfo Lopez T P17 ago</x:v>
      </x:c>
      <x:c r="H307" s="20" t="str">
        <x:v>RASTREO 085905174314322762</x:v>
      </x:c>
      <x:c r="I307" s="19" t="str">
        <x:v>DEPOSITO SPEI | JOSE RODOLFO,LOPEZ/TRASVI@A | BANAMEX 002040701962636578 | 150826 Pago M16 L2 Jose Rodolfo Lopez T P17 ago | CLAVE DE RASTREO 085905174314322762</x:v>
      </x:c>
      <x:c r="J307" s="21"/>
      <x:c r="K307" s="21" t="n">
        <x:v>1500</x:v>
      </x:c>
      <x:c r="L307" s="21" t="n">
        <x:v>145533.41</x:v>
      </x:c>
      <x:c r="M307" s="22" t="n">
        <x:v>30</x:v>
      </x:c>
    </x:row>
    <x:row r="308" ht="30" customHeight="1">
      <x:c r="A308" s="16" t="n">
        <x:v>46249</x:v>
      </x:c>
      <x:c r="B308" s="17" t="str">
        <x:v>4108261405</x:v>
      </x:c>
      <x:c r="C308" s="18" t="str">
        <x:v>DEPOSITO SPEI</x:v>
      </x:c>
      <x:c r="D308" s="18" t="str">
        <x:v>JESUS MIGUEL PLACENCIA LIZARRAGA</x:v>
      </x:c>
      <x:c r="E308" s="18" t="str">
        <x:v>BBVA MEXICO</x:v>
      </x:c>
      <x:c r="F308" s="17" t="str">
        <x:v>CTA 012744011736574855</x:v>
      </x:c>
      <x:c r="G308" s="19" t="str">
        <x:v>3107260 M8 L16 Placencia Lizarraga Jesus Miguel</x:v>
      </x:c>
      <x:c r="H308" s="20" t="str">
        <x:v>RASTREO MBAN01002608170061416836</x:v>
      </x:c>
      <x:c r="I308" s="19" t="str">
        <x:v>DEPOSITO SPEI | JESUS MIGUEL PLACENCIA LIZARRAGA | BBVA MEXICO 012744011736574855 | 3107260 M8 L16 Placencia Lizarraga Jesus Miguel | CLAVE DE RASTREO MBAN01002608170061416836</x:v>
      </x:c>
      <x:c r="J308" s="21"/>
      <x:c r="K308" s="21" t="n">
        <x:v>2805</x:v>
      </x:c>
      <x:c r="L308" s="21" t="n">
        <x:v>148338.41</x:v>
      </x:c>
      <x:c r="M308" s="22" t="n">
        <x:v>30</x:v>
      </x:c>
    </x:row>
    <x:row r="309" ht="30" customHeight="1">
      <x:c r="A309" s="16" t="n">
        <x:v>46249</x:v>
      </x:c>
      <x:c r="B309" s="17" t="str">
        <x:v>4108287744</x:v>
      </x:c>
      <x:c r="C309" s="18" t="str">
        <x:v>DEPOSITO SPEI</x:v>
      </x:c>
      <x:c r="D309" s="18" t="str">
        <x:v>ALEJANDRA GUADALUPE GOMEZ LOZANO</x:v>
      </x:c>
      <x:c r="E309" s="18" t="str">
        <x:v>SANTANDER</x:v>
      </x:c>
      <x:c r="F309" s="17" t="str">
        <x:v>CTA 014040569122358240</x:v>
      </x:c>
      <x:c r="G309" s="19" t="str">
        <x:v>4037690 TRANSFERENCIA A M24 L19 ALEJANDRA GPE</x:v>
      </x:c>
      <x:c r="H309" s="20" t="str">
        <x:v>RASTREO 2026081540014TRAPP000461175480</x:v>
      </x:c>
      <x:c r="I309" s="19" t="str">
        <x:v>DEPOSITO SPEI | ALEJANDRA GUADALUPE GOMEZ LOZANO | SANTANDER 014040569122358240 | 4037690 TRANSFERENCIA A M24 L19 ALEJANDRA GPE | CLAVE DE RASTREO 2026081540014TRAPP000461175480</x:v>
      </x:c>
      <x:c r="J309" s="21"/>
      <x:c r="K309" s="21" t="n">
        <x:v>2000</x:v>
      </x:c>
      <x:c r="L309" s="21" t="n">
        <x:v>150338.41</x:v>
      </x:c>
      <x:c r="M309" s="22" t="n">
        <x:v>30</x:v>
      </x:c>
    </x:row>
    <x:row r="310" ht="30" customHeight="1">
      <x:c r="A310" s="16" t="n">
        <x:v>46249</x:v>
      </x:c>
      <x:c r="B310" s="17" t="str">
        <x:v>4108332598</x:v>
      </x:c>
      <x:c r="C310" s="18" t="str">
        <x:v>DEPOSITO SPEI</x:v>
      </x:c>
      <x:c r="D310" s="18" t="str">
        <x:v>PAOLA DANIELA OJEDA DURAN</x:v>
      </x:c>
      <x:c r="E310" s="18" t="str">
        <x:v>BBVA MEXICO</x:v>
      </x:c>
      <x:c r="F310" s="17" t="str">
        <x:v>CTA 012180015934541295</x:v>
      </x:c>
      <x:c r="G310" s="19" t="str">
        <x:v>3107260 M5L18 PAOLA DANIELA OJEDA DURAN</x:v>
      </x:c>
      <x:c r="H310" s="20" t="str">
        <x:v>RASTREO MBAN01002608170061844838</x:v>
      </x:c>
      <x:c r="I310" s="19" t="str">
        <x:v>DEPOSITO SPEI | PAOLA DANIELA OJEDA DURAN | BBVA MEXICO 012180015934541295 | 3107260 M5L18 PAOLA DANIELA OJEDA DURAN | CLAVE DE RASTREO MBAN01002608170061844838</x:v>
      </x:c>
      <x:c r="J310" s="21"/>
      <x:c r="K310" s="21" t="n">
        <x:v>1500</x:v>
      </x:c>
      <x:c r="L310" s="21" t="n">
        <x:v>151838.41</x:v>
      </x:c>
      <x:c r="M310" s="22" t="n">
        <x:v>30</x:v>
      </x:c>
    </x:row>
    <x:row r="311" ht="30" customHeight="1">
      <x:c r="A311" s="16" t="n">
        <x:v>46249</x:v>
      </x:c>
      <x:c r="B311" s="17" t="str">
        <x:v>4108432371</x:v>
      </x:c>
      <x:c r="C311" s="18" t="str">
        <x:v>DEPOSITO SPEI</x:v>
      </x:c>
      <x:c r="D311" s="18" t="str">
        <x:v>ESPERANZA ZAMORA SANCHEZ</x:v>
      </x:c>
      <x:c r="E311" s="18" t="str">
        <x:v>BBVA MEXICO</x:v>
      </x:c>
      <x:c r="F311" s="17" t="str">
        <x:v>CTA 012040015356368604</x:v>
      </x:c>
      <x:c r="G311" s="19" t="str">
        <x:v>3107260 esperanza Zamora M22L9</x:v>
      </x:c>
      <x:c r="H311" s="20" t="str">
        <x:v>RASTREO MBAN01002608170062514892</x:v>
      </x:c>
      <x:c r="I311" s="19" t="str">
        <x:v>DEPOSITO SPEI | ESPERANZA ZAMORA SANCHEZ | BBVA MEXICO 012040015356368604 | 3107260 esperanza Zamora M22L9 | CLAVE DE RASTREO MBAN01002608170062514892</x:v>
      </x:c>
      <x:c r="J311" s="21"/>
      <x:c r="K311" s="21" t="n">
        <x:v>9466</x:v>
      </x:c>
      <x:c r="L311" s="21" t="n">
        <x:v>161304.41</x:v>
      </x:c>
      <x:c r="M311" s="22" t="n">
        <x:v>30</x:v>
      </x:c>
    </x:row>
    <x:row r="312" ht="30" customHeight="1">
      <x:c r="A312" s="16" t="n">
        <x:v>46249</x:v>
      </x:c>
      <x:c r="B312" s="17" t="str">
        <x:v>4108433847</x:v>
      </x:c>
      <x:c r="C312" s="18" t="str">
        <x:v>DEPOSITO SPEI</x:v>
      </x:c>
      <x:c r="D312" s="18" t="str">
        <x:v>ESPERANZA ZAMORA SANCHEZ</x:v>
      </x:c>
      <x:c r="E312" s="18" t="str">
        <x:v>BBVA MEXICO</x:v>
      </x:c>
      <x:c r="F312" s="17" t="str">
        <x:v>CTA 012040015356368604</x:v>
      </x:c>
      <x:c r="G312" s="19" t="str">
        <x:v>3107260 esperanza Zamora M22L7</x:v>
      </x:c>
      <x:c r="H312" s="20" t="str">
        <x:v>RASTREO MBAN01002608170062526997</x:v>
      </x:c>
      <x:c r="I312" s="19" t="str">
        <x:v>DEPOSITO SPEI | ESPERANZA ZAMORA SANCHEZ | BBVA MEXICO 012040015356368604 | 3107260 esperanza Zamora M22L7 | CLAVE DE RASTREO MBAN01002608170062526997</x:v>
      </x:c>
      <x:c r="J312" s="21"/>
      <x:c r="K312" s="21" t="n">
        <x:v>1600</x:v>
      </x:c>
      <x:c r="L312" s="21" t="n">
        <x:v>162904.41</x:v>
      </x:c>
      <x:c r="M312" s="22" t="n">
        <x:v>30</x:v>
      </x:c>
    </x:row>
    <x:row r="313" ht="30" customHeight="1">
      <x:c r="A313" s="16" t="n">
        <x:v>46249</x:v>
      </x:c>
      <x:c r="B313" s="17" t="str">
        <x:v>4108435122</x:v>
      </x:c>
      <x:c r="C313" s="18" t="str">
        <x:v>DEPOSITO SPEI</x:v>
      </x:c>
      <x:c r="D313" s="18" t="str">
        <x:v>WALTHER JOSUE RODARTE MAYORAL</x:v>
      </x:c>
      <x:c r="E313" s="18" t="str">
        <x:v>SANTANDER</x:v>
      </x:c>
      <x:c r="F313" s="17" t="str">
        <x:v>CTA 014040569273046223</x:v>
      </x:c>
      <x:c r="G313" s="19" t="str">
        <x:v>3782537 M12L40WALTHERJOSUERODARTEMAYORAL</x:v>
      </x:c>
      <x:c r="H313" s="20" t="str">
        <x:v>RASTREO 2026081540014BMOVP000466948530</x:v>
      </x:c>
      <x:c r="I313" s="19" t="str">
        <x:v>DEPOSITO SPEI | WALTHER JOSUE RODARTE MAYORAL | SANTANDER 014040569273046223 | 3782537 M12L40WALTHERJOSUERODARTEMAYORAL | CLAVE DE RASTREO 2026081540014BMOVP000466948530</x:v>
      </x:c>
      <x:c r="J313" s="21"/>
      <x:c r="K313" s="21" t="n">
        <x:v>2388.88</x:v>
      </x:c>
      <x:c r="L313" s="21" t="n">
        <x:v>165293.29</x:v>
      </x:c>
      <x:c r="M313" s="22" t="n">
        <x:v>30</x:v>
      </x:c>
    </x:row>
    <x:row r="314" ht="30" customHeight="1">
      <x:c r="A314" s="16" t="n">
        <x:v>46249</x:v>
      </x:c>
      <x:c r="B314" s="17" t="str">
        <x:v>4108435449</x:v>
      </x:c>
      <x:c r="C314" s="18" t="str">
        <x:v>DEPOSITO SPEI</x:v>
      </x:c>
      <x:c r="D314" s="18" t="str">
        <x:v>ESPERANZA ZAMORA SANCHEZ</x:v>
      </x:c>
      <x:c r="E314" s="18" t="str">
        <x:v>BBVA MEXICO</x:v>
      </x:c>
      <x:c r="F314" s="17" t="str">
        <x:v>CTA 012040015356368604</x:v>
      </x:c>
      <x:c r="G314" s="19" t="str">
        <x:v>3107260 esperanza Zamora M22L8</x:v>
      </x:c>
      <x:c r="H314" s="20" t="str">
        <x:v>RASTREO MBAN01002608170062535924</x:v>
      </x:c>
      <x:c r="I314" s="19" t="str">
        <x:v>DEPOSITO SPEI | ESPERANZA ZAMORA SANCHEZ | BBVA MEXICO 012040015356368604 | 3107260 esperanza Zamora M22L8 | CLAVE DE RASTREO MBAN01002608170062535924</x:v>
      </x:c>
      <x:c r="J314" s="21"/>
      <x:c r="K314" s="21" t="n">
        <x:v>1600</x:v>
      </x:c>
      <x:c r="L314" s="21" t="n">
        <x:v>166893.29</x:v>
      </x:c>
      <x:c r="M314" s="22" t="n">
        <x:v>30</x:v>
      </x:c>
    </x:row>
    <x:row r="315" ht="30" customHeight="1">
      <x:c r="A315" s="16" t="n">
        <x:v>46249</x:v>
      </x:c>
      <x:c r="B315" s="17" t="str">
        <x:v>4108436889</x:v>
      </x:c>
      <x:c r="C315" s="18" t="str">
        <x:v>DEPOSITO SPEI</x:v>
      </x:c>
      <x:c r="D315" s="18" t="str">
        <x:v>ESPERANZA ZAMORA SANCHEZ</x:v>
      </x:c>
      <x:c r="E315" s="18" t="str">
        <x:v>BBVA MEXICO</x:v>
      </x:c>
      <x:c r="F315" s="17" t="str">
        <x:v>CTA 012040015356368604</x:v>
      </x:c>
      <x:c r="G315" s="19" t="str">
        <x:v>3107260 esperanza Zamora M22L9</x:v>
      </x:c>
      <x:c r="H315" s="20" t="str">
        <x:v>RASTREO MBAN01002608170062548387</x:v>
      </x:c>
      <x:c r="I315" s="19" t="str">
        <x:v>DEPOSITO SPEI | ESPERANZA ZAMORA SANCHEZ | BBVA MEXICO 012040015356368604 | 3107260 esperanza Zamora M22L9 | CLAVE DE RASTREO MBAN01002608170062548387</x:v>
      </x:c>
      <x:c r="J315" s="21"/>
      <x:c r="K315" s="21" t="n">
        <x:v>1600</x:v>
      </x:c>
      <x:c r="L315" s="21" t="n">
        <x:v>168493.29</x:v>
      </x:c>
      <x:c r="M315" s="22" t="n">
        <x:v>31</x:v>
      </x:c>
    </x:row>
    <x:row r="316" ht="30" customHeight="1">
      <x:c r="A316" s="16" t="n">
        <x:v>46249</x:v>
      </x:c>
      <x:c r="B316" s="17" t="str">
        <x:v>4108515750</x:v>
      </x:c>
      <x:c r="C316" s="18" t="str">
        <x:v>DEPOSITO SPEI</x:v>
      </x:c>
      <x:c r="D316" s="18" t="str">
        <x:v>BETZABE MONTERO PARAMO</x:v>
      </x:c>
      <x:c r="E316" s="18" t="str">
        <x:v>BBVA MEXICO</x:v>
      </x:c>
      <x:c r="F316" s="17" t="str">
        <x:v>CTA 012180015445538014</x:v>
      </x:c>
      <x:c r="G316" s="19" t="str">
        <x:v>3107260 predio palo verde manzana 2 lote 3</x:v>
      </x:c>
      <x:c r="H316" s="20" t="str">
        <x:v>RASTREO MBAN01002608170063093395</x:v>
      </x:c>
      <x:c r="I316" s="19" t="str">
        <x:v>DEPOSITO SPEI | BETZABE MONTERO PARAMO | BBVA MEXICO 012180015445538014 | 3107260 predio palo verde manzana 2 lote 3 | CLAVE DE RASTREO MBAN01002608170063093395</x:v>
      </x:c>
      <x:c r="J316" s="21"/>
      <x:c r="K316" s="21" t="n">
        <x:v>2388</x:v>
      </x:c>
      <x:c r="L316" s="21" t="n">
        <x:v>170881.29</x:v>
      </x:c>
      <x:c r="M316" s="22" t="n">
        <x:v>31</x:v>
      </x:c>
    </x:row>
    <x:row r="317" ht="30" customHeight="1">
      <x:c r="A317" s="16" t="n">
        <x:v>46249</x:v>
      </x:c>
      <x:c r="B317" s="17" t="str">
        <x:v>4108540250</x:v>
      </x:c>
      <x:c r="C317" s="18" t="str">
        <x:v>DEPOSITO SPEI</x:v>
      </x:c>
      <x:c r="D317" s="18" t="str">
        <x:v>EMILIA CAMACHO ROSAS</x:v>
      </x:c>
      <x:c r="E317" s="18" t="str">
        <x:v>BBVA MEXICO</x:v>
      </x:c>
      <x:c r="F317" s="17" t="str">
        <x:v>CTA 012180015419369552</x:v>
      </x:c>
      <x:c r="G317" s="19" t="str">
        <x:v>3107260 Mza 17 Lote 5 Emilia Camacho Rosas</x:v>
      </x:c>
      <x:c r="H317" s="20" t="str">
        <x:v>RASTREO MBAN01002608170063272077</x:v>
      </x:c>
      <x:c r="I317" s="19" t="str">
        <x:v>DEPOSITO SPEI | EMILIA CAMACHO ROSAS | BBVA MEXICO 012180015419369552 | 3107260 Mza 17 Lote 5 Emilia Camacho Rosas | CLAVE DE RASTREO MBAN01002608170063272077</x:v>
      </x:c>
      <x:c r="J317" s="21"/>
      <x:c r="K317" s="21" t="n">
        <x:v>1500</x:v>
      </x:c>
      <x:c r="L317" s="21" t="n">
        <x:v>172381.29</x:v>
      </x:c>
      <x:c r="M317" s="22" t="n">
        <x:v>31</x:v>
      </x:c>
    </x:row>
    <x:row r="318" ht="30" customHeight="1">
      <x:c r="A318" s="16" t="n">
        <x:v>46249</x:v>
      </x:c>
      <x:c r="B318" s="17" t="str">
        <x:v>4108619441</x:v>
      </x:c>
      <x:c r="C318" s="18" t="str">
        <x:v>DEPOSITO SPEI</x:v>
      </x:c>
      <x:c r="D318" s="18" t="str">
        <x:v>DANIEL GARCIA LOMELI</x:v>
      </x:c>
      <x:c r="E318" s="18" t="str">
        <x:v>BAJIO</x:v>
      </x:c>
      <x:c r="F318" s="17" t="str">
        <x:v>CTA 030320900002326150</x:v>
      </x:c>
      <x:c r="G318" s="19" t="str">
        <x:v>5873539 Manzana 6 lote 1</x:v>
      </x:c>
      <x:c r="H318" s="20" t="str">
        <x:v>RASTREO BB5873539020713</x:v>
      </x:c>
      <x:c r="I318" s="19" t="str">
        <x:v>DEPOSITO SPEI | DANIEL GARCIA LOMELI | BAJIO 030320900002326150 | 5873539 Manzana 6 lote 1 | CLAVE DE RASTREO BB5873539020713</x:v>
      </x:c>
      <x:c r="J318" s="21"/>
      <x:c r="K318" s="21" t="n">
        <x:v>2500</x:v>
      </x:c>
      <x:c r="L318" s="21" t="n">
        <x:v>174881.29</x:v>
      </x:c>
      <x:c r="M318" s="22" t="n">
        <x:v>31</x:v>
      </x:c>
    </x:row>
    <x:row r="319" ht="30" customHeight="1">
      <x:c r="A319" s="16" t="n">
        <x:v>46249</x:v>
      </x:c>
      <x:c r="B319" s="17" t="str">
        <x:v>4108649760</x:v>
      </x:c>
      <x:c r="C319" s="18" t="str">
        <x:v>DEPOSITO SPEI</x:v>
      </x:c>
      <x:c r="D319" s="18" t="str">
        <x:v>ROBERT EDWIN AMADOR GARCIA</x:v>
      </x:c>
      <x:c r="E319" s="18" t="str">
        <x:v>BBVA MEXICO</x:v>
      </x:c>
      <x:c r="F319" s="17" t="str">
        <x:v>CTA 012180015599715835</x:v>
      </x:c>
      <x:c r="G319" s="19" t="str">
        <x:v>3107260 PVDM7L2</x:v>
      </x:c>
      <x:c r="H319" s="20" t="str">
        <x:v>RASTREO MBAN01002608170064127574</x:v>
      </x:c>
      <x:c r="I319" s="19" t="str">
        <x:v>DEPOSITO SPEI | ROBERT EDWIN AMADOR GARCIA | BBVA MEXICO 012180015599715835 | 3107260 PVDM7L2 | CLAVE DE RASTREO MBAN01002608170064127574</x:v>
      </x:c>
      <x:c r="J319" s="21"/>
      <x:c r="K319" s="21" t="n">
        <x:v>2388</x:v>
      </x:c>
      <x:c r="L319" s="21" t="n">
        <x:v>177269.29</x:v>
      </x:c>
      <x:c r="M319" s="22" t="n">
        <x:v>31</x:v>
      </x:c>
    </x:row>
    <x:row r="320" ht="30" customHeight="1">
      <x:c r="A320" s="16" t="n">
        <x:v>46249</x:v>
      </x:c>
      <x:c r="B320" s="17" t="str">
        <x:v>4108659637</x:v>
      </x:c>
      <x:c r="C320" s="18" t="str">
        <x:v>DEPOSITO SPEI</x:v>
      </x:c>
      <x:c r="D320" s="18" t="str">
        <x:v>DANNIA MEDEL GERARDO</x:v>
      </x:c>
      <x:c r="E320" s="18" t="str">
        <x:v>BBVA MEXICO</x:v>
      </x:c>
      <x:c r="F320" s="17" t="str">
        <x:v>CTA 012780015380963584</x:v>
      </x:c>
      <x:c r="G320" s="19" t="str">
        <x:v>3107260 claudiagerardopayanM14L6</x:v>
      </x:c>
      <x:c r="H320" s="20" t="str">
        <x:v>RASTREO MBAN01002608170064205412</x:v>
      </x:c>
      <x:c r="I320" s="19" t="str">
        <x:v>DEPOSITO SPEI | DANNIA MEDEL GERARDO | BBVA MEXICO 012780015380963584 | 3107260 claudiagerardopayanM14L6 | CLAVE DE RASTREO MBAN01002608170064205412</x:v>
      </x:c>
      <x:c r="J320" s="21"/>
      <x:c r="K320" s="21" t="n">
        <x:v>1500</x:v>
      </x:c>
      <x:c r="L320" s="21" t="n">
        <x:v>178769.29</x:v>
      </x:c>
      <x:c r="M320" s="22" t="n">
        <x:v>31</x:v>
      </x:c>
    </x:row>
    <x:row r="321" ht="30" customHeight="1">
      <x:c r="A321" s="16" t="n">
        <x:v>46249</x:v>
      </x:c>
      <x:c r="B321" s="17" t="str">
        <x:v>8202629230</x:v>
      </x:c>
      <x:c r="C321" s="18" t="str">
        <x:v>TRANSFERENCIA SPEI</x:v>
      </x:c>
      <x:c r="D321" s="18" t="str">
        <x:v>Nehiva Arauza</x:v>
      </x:c>
      <x:c r="E321" s="18" t="str">
        <x:v>BBVA MEXICO</x:v>
      </x:c>
      <x:c r="F321" s="17" t="str">
        <x:v>CTA 4152314180181748</x:v>
      </x:c>
      <x:c r="G321" s="19" t="str">
        <x:v>20260815 Pago | 036NAPP15082026292300480 RFC NO DISPONIBLE</x:v>
      </x:c>
      <x:c r="H321" s="20" t="str"/>
      <x:c r="I321" s="19" t="str">
        <x:v>TRANSFERENCIA SPEI | Nehiva Arauza | BBVA MEXICO 4152314180181748 | 20260815 Pago | 036NAPP15082026292300480 RFC NO DISPONIBLE</x:v>
      </x:c>
      <x:c r="J321" s="21" t="n">
        <x:v>5000</x:v>
      </x:c>
      <x:c r="K321" s="21"/>
      <x:c r="L321" s="21" t="n">
        <x:v>173769.29</x:v>
      </x:c>
      <x:c r="M321" s="22" t="n">
        <x:v>31</x:v>
      </x:c>
    </x:row>
    <x:row r="322" ht="30" customHeight="1">
      <x:c r="A322" s="16" t="n">
        <x:v>46249</x:v>
      </x:c>
      <x:c r="B322" s="17" t="str">
        <x:v>4108660174</x:v>
      </x:c>
      <x:c r="C322" s="18" t="str">
        <x:v>DEPOSITO SPEI</x:v>
      </x:c>
      <x:c r="D322" s="18" t="str">
        <x:v>DANNIA MEDEL GERARDO</x:v>
      </x:c>
      <x:c r="E322" s="18" t="str">
        <x:v>BBVA MEXICO</x:v>
      </x:c>
      <x:c r="F322" s="17" t="str">
        <x:v>CTA 012780015380963584</x:v>
      </x:c>
      <x:c r="G322" s="19" t="str">
        <x:v>3107260 JoseMedelMartinezM14L5</x:v>
      </x:c>
      <x:c r="H322" s="20" t="str">
        <x:v>RASTREO MBAN01002608170064210661</x:v>
      </x:c>
      <x:c r="I322" s="19" t="str">
        <x:v>DEPOSITO SPEI | DANNIA MEDEL GERARDO | BBVA MEXICO 012780015380963584 | 3107260 JoseMedelMartinezM14L5 | CLAVE DE RASTREO MBAN01002608170064210661</x:v>
      </x:c>
      <x:c r="J322" s="21"/>
      <x:c r="K322" s="21" t="n">
        <x:v>1500</x:v>
      </x:c>
      <x:c r="L322" s="21" t="n">
        <x:v>175269.29</x:v>
      </x:c>
      <x:c r="M322" s="22" t="n">
        <x:v>31</x:v>
      </x:c>
    </x:row>
    <x:row r="323" ht="30" customHeight="1">
      <x:c r="A323" s="16" t="n">
        <x:v>46249</x:v>
      </x:c>
      <x:c r="B323" s="17" t="str">
        <x:v>4108665234</x:v>
      </x:c>
      <x:c r="C323" s="18" t="str">
        <x:v>DEPOSITO SPEI</x:v>
      </x:c>
      <x:c r="D323" s="18" t="str">
        <x:v>MARIA NELY BAUTISTA PONCE</x:v>
      </x:c>
      <x:c r="E323" s="18" t="str">
        <x:v>BANCOPPEL</x:v>
      </x:c>
      <x:c r="F323" s="17" t="str">
        <x:v>CTA 137061105028446152</x:v>
      </x:c>
      <x:c r="G323" s="19" t="str">
        <x:v>1508264 JUAN ALBERTO PONCE ZAMORA M25 L2</x:v>
      </x:c>
      <x:c r="H323" s="20" t="str">
        <x:v>RASTREO 50116152TRANSBPI39422829</x:v>
      </x:c>
      <x:c r="I323" s="19" t="str">
        <x:v>DEPOSITO SPEI | MARIA NELY BAUTISTA PONCE | BANCOPPEL 137061105028446152 | 1508264 JUAN ALBERTO PONCE ZAMORA M25 L2 | CLAVE DE RASTREO 50116152TRANSBPI39422829</x:v>
      </x:c>
      <x:c r="J323" s="21"/>
      <x:c r="K323" s="21" t="n">
        <x:v>11946</x:v>
      </x:c>
      <x:c r="L323" s="21" t="n">
        <x:v>187215.29</x:v>
      </x:c>
      <x:c r="M323" s="22" t="n">
        <x:v>31</x:v>
      </x:c>
    </x:row>
    <x:row r="324" ht="30" customHeight="1">
      <x:c r="A324" s="16" t="n">
        <x:v>46249</x:v>
      </x:c>
      <x:c r="B324" s="17" t="str">
        <x:v>4108709556</x:v>
      </x:c>
      <x:c r="C324" s="18" t="str">
        <x:v>DEPOSITO SPEI</x:v>
      </x:c>
      <x:c r="D324" s="18" t="str">
        <x:v>DARIANA VAZQUEZ BARRERA</x:v>
      </x:c>
      <x:c r="E324" s="18" t="str">
        <x:v>BBVA MEXICO</x:v>
      </x:c>
      <x:c r="F324" s="17" t="str">
        <x:v>CTA 012180015291898102</x:v>
      </x:c>
      <x:c r="G324" s="19" t="str">
        <x:v>3107260 Mza7Lte23 Dariana Vazquez</x:v>
      </x:c>
      <x:c r="H324" s="20" t="str">
        <x:v>RASTREO MBAN01002608170064533417</x:v>
      </x:c>
      <x:c r="I324" s="19" t="str">
        <x:v>DEPOSITO SPEI | DARIANA VAZQUEZ BARRERA | BBVA MEXICO 012180015291898102 | 3107260 Mza7Lte23 Dariana Vazquez | CLAVE DE RASTREO MBAN01002608170064533417</x:v>
      </x:c>
      <x:c r="J324" s="21"/>
      <x:c r="K324" s="21" t="n">
        <x:v>1500</x:v>
      </x:c>
      <x:c r="L324" s="21" t="n">
        <x:v>188715.29</x:v>
      </x:c>
      <x:c r="M324" s="22" t="n">
        <x:v>31</x:v>
      </x:c>
    </x:row>
    <x:row r="325" ht="30" customHeight="1">
      <x:c r="A325" s="16" t="n">
        <x:v>46249</x:v>
      </x:c>
      <x:c r="B325" s="17" t="str">
        <x:v>4108711379</x:v>
      </x:c>
      <x:c r="C325" s="18" t="str">
        <x:v>DEPOSITO SPEI</x:v>
      </x:c>
      <x:c r="D325" s="18" t="str">
        <x:v>BIBIANA HERNANDEZ CASTRO</x:v>
      </x:c>
      <x:c r="E325" s="18" t="str">
        <x:v>BANCOPPEL</x:v>
      </x:c>
      <x:c r="F325" s="17" t="str">
        <x:v>CTA 137040105134231311</x:v>
      </x:c>
      <x:c r="G325" s="19" t="str">
        <x:v>1508260 mz.23 lt.8 mens.septiembre 2026</x:v>
      </x:c>
      <x:c r="H325" s="20" t="str">
        <x:v>RASTREO 50111311TRANSBPI40316695</x:v>
      </x:c>
      <x:c r="I325" s="19" t="str">
        <x:v>DEPOSITO SPEI | BIBIANA HERNANDEZ CASTRO | BANCOPPEL 137040105134231311 | 1508260 mz.23 lt.8 mens.septiembre 2026 | CLAVE DE RASTREO 50111311TRANSBPI40316695</x:v>
      </x:c>
      <x:c r="J325" s="21"/>
      <x:c r="K325" s="21" t="n">
        <x:v>2806</x:v>
      </x:c>
      <x:c r="L325" s="21" t="n">
        <x:v>191521.29</x:v>
      </x:c>
      <x:c r="M325" s="22" t="n">
        <x:v>32</x:v>
      </x:c>
    </x:row>
    <x:row r="326" ht="30" customHeight="1">
      <x:c r="A326" s="16" t="n">
        <x:v>46250</x:v>
      </x:c>
      <x:c r="B326" s="17" t="str">
        <x:v>4108745951</x:v>
      </x:c>
      <x:c r="C326" s="18" t="str">
        <x:v>DEPOSITO SPEI</x:v>
      </x:c>
      <x:c r="D326" s="18" t="str">
        <x:v>MIGUEL ANGEL,DE LA ROSA/GUTIERREZ</x:v>
      </x:c>
      <x:c r="E326" s="18" t="str">
        <x:v>BANAMEX</x:v>
      </x:c>
      <x:c r="F326" s="17" t="str">
        <x:v>CTA 002020700647747253</x:v>
      </x:c>
      <x:c r="G326" s="19" t="str">
        <x:v>150826 Pago Mensual PVD M24 L29</x:v>
      </x:c>
      <x:c r="H326" s="20" t="str">
        <x:v>RASTREO 085908748944322864</x:v>
      </x:c>
      <x:c r="I326" s="19" t="str">
        <x:v>DEPOSITO SPEI | MIGUEL ANGEL,DE LA ROSA/GUTIERREZ | BANAMEX 002020700647747253 | 150826 Pago Mensual PVD M24 L29 | CLAVE DE RASTREO 085908748944322864</x:v>
      </x:c>
      <x:c r="J326" s="21"/>
      <x:c r="K326" s="21" t="n">
        <x:v>1500</x:v>
      </x:c>
      <x:c r="L326" s="21" t="n">
        <x:v>193021.29</x:v>
      </x:c>
      <x:c r="M326" s="22" t="n">
        <x:v>32</x:v>
      </x:c>
    </x:row>
    <x:row r="327" ht="30" customHeight="1">
      <x:c r="A327" s="16" t="n">
        <x:v>46250</x:v>
      </x:c>
      <x:c r="B327" s="17" t="str">
        <x:v>4108746672</x:v>
      </x:c>
      <x:c r="C327" s="18" t="str">
        <x:v>DEPOSITO SPEI</x:v>
      </x:c>
      <x:c r="D327" s="18" t="str">
        <x:v>MIGUEL ANGEL,DE LA ROSA/GUTIERREZ</x:v>
      </x:c>
      <x:c r="E327" s="18" t="str">
        <x:v>BANAMEX</x:v>
      </x:c>
      <x:c r="F327" s="17" t="str">
        <x:v>CTA 002020700647747253</x:v>
      </x:c>
      <x:c r="G327" s="19" t="str">
        <x:v>150826 Pago Anual PVD M24 L29</x:v>
      </x:c>
      <x:c r="H327" s="20" t="str">
        <x:v>RASTREO 085908751504322863</x:v>
      </x:c>
      <x:c r="I327" s="19" t="str">
        <x:v>DEPOSITO SPEI | MIGUEL ANGEL,DE LA ROSA/GUTIERREZ | BANAMEX 002020700647747253 | 150826 Pago Anual PVD M24 L29 | CLAVE DE RASTREO 085908751504322863</x:v>
      </x:c>
      <x:c r="J327" s="21"/>
      <x:c r="K327" s="21" t="n">
        <x:v>10667</x:v>
      </x:c>
      <x:c r="L327" s="21" t="n">
        <x:v>203688.29</x:v>
      </x:c>
      <x:c r="M327" s="22" t="n">
        <x:v>32</x:v>
      </x:c>
    </x:row>
    <x:row r="328" ht="30" customHeight="1">
      <x:c r="A328" s="16" t="n">
        <x:v>46250</x:v>
      </x:c>
      <x:c r="B328" s="17" t="str">
        <x:v>4108747230</x:v>
      </x:c>
      <x:c r="C328" s="18" t="str">
        <x:v>DEPOSITO SPEI</x:v>
      </x:c>
      <x:c r="D328" s="18" t="str">
        <x:v>MIGUEL ANGEL,DE LA ROSA/GUTIERREZ</x:v>
      </x:c>
      <x:c r="E328" s="18" t="str">
        <x:v>BANAMEX</x:v>
      </x:c>
      <x:c r="F328" s="17" t="str">
        <x:v>CTA 002020700647747253</x:v>
      </x:c>
      <x:c r="G328" s="19" t="str">
        <x:v>150826 Pago Mensual PVD M24 L30</x:v>
      </x:c>
      <x:c r="H328" s="20" t="str">
        <x:v>RASTREO 085908753864322864</x:v>
      </x:c>
      <x:c r="I328" s="19" t="str">
        <x:v>DEPOSITO SPEI | MIGUEL ANGEL,DE LA ROSA/GUTIERREZ | BANAMEX 002020700647747253 | 150826 Pago Mensual PVD M24 L30 | CLAVE DE RASTREO 085908753864322864</x:v>
      </x:c>
      <x:c r="J328" s="21"/>
      <x:c r="K328" s="21" t="n">
        <x:v>1500</x:v>
      </x:c>
      <x:c r="L328" s="21" t="n">
        <x:v>205188.29</x:v>
      </x:c>
      <x:c r="M328" s="22" t="n">
        <x:v>32</x:v>
      </x:c>
    </x:row>
    <x:row r="329" ht="30" customHeight="1">
      <x:c r="A329" s="16" t="n">
        <x:v>46250</x:v>
      </x:c>
      <x:c r="B329" s="17" t="str">
        <x:v>4108749238</x:v>
      </x:c>
      <x:c r="C329" s="18" t="str">
        <x:v>DEPOSITO SPEI</x:v>
      </x:c>
      <x:c r="D329" s="18" t="str">
        <x:v>LESLIE MICHEL,BAUTISTA/AGUILAR</x:v>
      </x:c>
      <x:c r="E329" s="18" t="str">
        <x:v>BANAMEX</x:v>
      </x:c>
      <x:c r="F329" s="17" t="str">
        <x:v>CTA 002040702016922519</x:v>
      </x:c>
      <x:c r="G329" s="19" t="str">
        <x:v>150826 m27l17 Leslie Bautista</x:v>
      </x:c>
      <x:c r="H329" s="20" t="str">
        <x:v>RASTREO 085909474770322866</x:v>
      </x:c>
      <x:c r="I329" s="19" t="str">
        <x:v>DEPOSITO SPEI | LESLIE MICHEL,BAUTISTA/AGUILAR | BANAMEX 002040702016922519 | 150826 m27l17 Leslie Bautista | CLAVE DE RASTREO 085909474770322866</x:v>
      </x:c>
      <x:c r="J329" s="21"/>
      <x:c r="K329" s="21" t="n">
        <x:v>2389</x:v>
      </x:c>
      <x:c r="L329" s="21" t="n">
        <x:v>207577.29</x:v>
      </x:c>
      <x:c r="M329" s="22" t="n">
        <x:v>32</x:v>
      </x:c>
    </x:row>
    <x:row r="330" ht="30" customHeight="1">
      <x:c r="A330" s="16" t="n">
        <x:v>46250</x:v>
      </x:c>
      <x:c r="B330" s="17" t="str">
        <x:v>4108811587</x:v>
      </x:c>
      <x:c r="C330" s="18" t="str">
        <x:v>DEPOSITO SPEI</x:v>
      </x:c>
      <x:c r="D330" s="18" t="str">
        <x:v>HECTOR CARLOS LOPEZ FUENTES</x:v>
      </x:c>
      <x:c r="E330" s="18" t="str">
        <x:v>SANTANDER</x:v>
      </x:c>
      <x:c r="F330" s="17" t="str">
        <x:v>CTA 014010200056532887</x:v>
      </x:c>
      <x:c r="G330" s="19" t="str">
        <x:v>4938834 PAGO AGOSTO2026 HCLF PALO VERDE MZ15LT5</x:v>
      </x:c>
      <x:c r="H330" s="20" t="str">
        <x:v>RASTREO 2026081640014BMOVP000405720100</x:v>
      </x:c>
      <x:c r="I330" s="19" t="str">
        <x:v>DEPOSITO SPEI | HECTOR CARLOS LOPEZ FUENTES | SANTANDER 014010200056532887 | 4938834 PAGO AGOSTO2026 HCLF PALO VERDE MZ15LT5 | CLAVE DE RASTREO 2026081640014BMOVP000405720100</x:v>
      </x:c>
      <x:c r="J330" s="21"/>
      <x:c r="K330" s="21" t="n">
        <x:v>3429</x:v>
      </x:c>
      <x:c r="L330" s="21" t="n">
        <x:v>211006.29</x:v>
      </x:c>
      <x:c r="M330" s="22" t="n">
        <x:v>32</x:v>
      </x:c>
    </x:row>
    <x:row r="331" ht="30" customHeight="1">
      <x:c r="A331" s="16" t="n">
        <x:v>46250</x:v>
      </x:c>
      <x:c r="B331" s="17" t="str">
        <x:v>4108836348</x:v>
      </x:c>
      <x:c r="C331" s="18" t="str">
        <x:v>DEPOSITO SPEI</x:v>
      </x:c>
      <x:c r="D331" s="18" t="str">
        <x:v>RAFAEL ALBERTO SALGADO AMADOR</x:v>
      </x:c>
      <x:c r="E331" s="18" t="str">
        <x:v>BBVA MEXICO</x:v>
      </x:c>
      <x:c r="F331" s="17" t="str">
        <x:v>CTA 012041015361185745</x:v>
      </x:c>
      <x:c r="G331" s="19" t="str">
        <x:v>3107260 M17 LOTE 16 RAFAEL S</x:v>
      </x:c>
      <x:c r="H331" s="20" t="str">
        <x:v>RASTREO MBAN01002608170065165811</x:v>
      </x:c>
      <x:c r="I331" s="19" t="str">
        <x:v>DEPOSITO SPEI | RAFAEL ALBERTO SALGADO AMADOR | BBVA MEXICO 012041015361185745 | 3107260 M17 LOTE 16 RAFAEL S | CLAVE DE RASTREO MBAN01002608170065165811</x:v>
      </x:c>
      <x:c r="J331" s="21"/>
      <x:c r="K331" s="21" t="n">
        <x:v>1500</x:v>
      </x:c>
      <x:c r="L331" s="21" t="n">
        <x:v>212506.29</x:v>
      </x:c>
      <x:c r="M331" s="22" t="n">
        <x:v>32</x:v>
      </x:c>
    </x:row>
    <x:row r="332" ht="30" customHeight="1">
      <x:c r="A332" s="16" t="n">
        <x:v>46250</x:v>
      </x:c>
      <x:c r="B332" s="17" t="str">
        <x:v>4108909614</x:v>
      </x:c>
      <x:c r="C332" s="18" t="str">
        <x:v>DEPOSITO SPEI</x:v>
      </x:c>
      <x:c r="D332" s="18" t="str">
        <x:v>ROSALBA AMADOR DE LA TOBA</x:v>
      </x:c>
      <x:c r="E332" s="18" t="str">
        <x:v>Mercado Pago W</x:v>
      </x:c>
      <x:c r="F332" s="17" t="str">
        <x:v>CTA 722969010837824114</x:v>
      </x:c>
      <x:c r="G332" s="19" t="str">
        <x:v>2199686 lote 16 mzna 6 rosalba amador de la toba</x:v>
      </x:c>
      <x:c r="H332" s="20" t="str">
        <x:v>RASTREO CPO174142199686</x:v>
      </x:c>
      <x:c r="I332" s="19" t="str">
        <x:v>DEPOSITO SPEI | ROSALBA AMADOR DE LA TOBA | Mercado Pago W 722969010837824114 | 2199686 lote 16 mzna 6 rosalba amador de la toba | CLAVE DE RASTREO CPO174142199686</x:v>
      </x:c>
      <x:c r="J332" s="21"/>
      <x:c r="K332" s="21" t="n">
        <x:v>1500</x:v>
      </x:c>
      <x:c r="L332" s="21" t="n">
        <x:v>214006.29</x:v>
      </x:c>
      <x:c r="M332" s="22" t="n">
        <x:v>32</x:v>
      </x:c>
    </x:row>
    <x:row r="333" ht="30" customHeight="1">
      <x:c r="A333" s="16" t="n">
        <x:v>46250</x:v>
      </x:c>
      <x:c r="B333" s="17" t="str">
        <x:v>4109075136</x:v>
      </x:c>
      <x:c r="C333" s="18" t="str">
        <x:v>GAS BOULEVARD MX</x:v>
      </x:c>
      <x:c r="D333" s="18" t="str"/>
      <x:c r="E333" s="18" t="str"/>
      <x:c r="F333" s="17" t="str"/>
      <x:c r="G333" s="19" t="str"/>
      <x:c r="H333" s="20" t="str"/>
      <x:c r="I333" s="19" t="str">
        <x:v>GAS BOULEVARD MX</x:v>
      </x:c>
      <x:c r="J333" s="21" t="n">
        <x:v>300</x:v>
      </x:c>
      <x:c r="K333" s="21"/>
      <x:c r="L333" s="21" t="n">
        <x:v>213706.29</x:v>
      </x:c>
      <x:c r="M333" s="22" t="n">
        <x:v>32</x:v>
      </x:c>
    </x:row>
    <x:row r="334" ht="30" customHeight="1">
      <x:c r="A334" s="16" t="n">
        <x:v>46250</x:v>
      </x:c>
      <x:c r="B334" s="17" t="str">
        <x:v>4109075170</x:v>
      </x:c>
      <x:c r="C334" s="18" t="str">
        <x:v>OXXO ANTARES CEN MX</x:v>
      </x:c>
      <x:c r="D334" s="18" t="str"/>
      <x:c r="E334" s="18" t="str"/>
      <x:c r="F334" s="17" t="str"/>
      <x:c r="G334" s="19" t="str"/>
      <x:c r="H334" s="20" t="str"/>
      <x:c r="I334" s="19" t="str">
        <x:v>OXXO ANTARES CEN MX</x:v>
      </x:c>
      <x:c r="J334" s="21" t="n">
        <x:v>346</x:v>
      </x:c>
      <x:c r="K334" s="21"/>
      <x:c r="L334" s="21" t="n">
        <x:v>213360.29</x:v>
      </x:c>
      <x:c r="M334" s="22" t="n">
        <x:v>32</x:v>
      </x:c>
    </x:row>
    <x:row r="335" ht="30" customHeight="1">
      <x:c r="A335" s="16" t="n">
        <x:v>46250</x:v>
      </x:c>
      <x:c r="B335" s="17" t="str">
        <x:v>4109075187</x:v>
      </x:c>
      <x:c r="C335" s="18" t="str">
        <x:v>HOME DEPOT LA PAZ MX</x:v>
      </x:c>
      <x:c r="D335" s="18" t="str"/>
      <x:c r="E335" s="18" t="str"/>
      <x:c r="F335" s="17" t="str"/>
      <x:c r="G335" s="19" t="str"/>
      <x:c r="H335" s="20" t="str"/>
      <x:c r="I335" s="19" t="str">
        <x:v>HOME DEPOT LA PAZ MX</x:v>
      </x:c>
      <x:c r="J335" s="21" t="n">
        <x:v>4164.1</x:v>
      </x:c>
      <x:c r="K335" s="21"/>
      <x:c r="L335" s="21" t="n">
        <x:v>209196.19</x:v>
      </x:c>
      <x:c r="M335" s="22" t="n">
        <x:v>32</x:v>
      </x:c>
    </x:row>
    <x:row r="336" ht="30" customHeight="1">
      <x:c r="A336" s="16" t="n">
        <x:v>46250</x:v>
      </x:c>
      <x:c r="B336" s="17" t="str">
        <x:v>4109148968</x:v>
      </x:c>
      <x:c r="C336" s="18" t="str">
        <x:v>DEPOSITO SPEI</x:v>
      </x:c>
      <x:c r="D336" s="18" t="str">
        <x:v>JOSUE MANUEL JACINTO ALMAGUER</x:v>
      </x:c>
      <x:c r="E336" s="18" t="str">
        <x:v>BANCOPPEL</x:v>
      </x:c>
      <x:c r="F336" s="17" t="str">
        <x:v>CTA 137061104563780196</x:v>
      </x:c>
      <x:c r="G336" s="19" t="str">
        <x:v>1608261 Josue Manuel Jacinto Almaguer M2 L8</x:v>
      </x:c>
      <x:c r="H336" s="20" t="str">
        <x:v>RASTREO 50110196TRANSBPI46052453</x:v>
      </x:c>
      <x:c r="I336" s="19" t="str">
        <x:v>DEPOSITO SPEI | JOSUE MANUEL JACINTO ALMAGUER | BANCOPPEL 137061104563780196 | 1608261 Josue Manuel Jacinto Almaguer M2 L8 | CLAVE DE RASTREO 50110196TRANSBPI46052453</x:v>
      </x:c>
      <x:c r="J336" s="21"/>
      <x:c r="K336" s="21" t="n">
        <x:v>1800</x:v>
      </x:c>
      <x:c r="L336" s="21" t="n">
        <x:v>210996.19</x:v>
      </x:c>
      <x:c r="M336" s="22" t="n">
        <x:v>32</x:v>
      </x:c>
    </x:row>
    <x:row r="337" ht="30" customHeight="1">
      <x:c r="A337" s="16" t="n">
        <x:v>46250</x:v>
      </x:c>
      <x:c r="B337" s="17" t="str">
        <x:v>4109213140</x:v>
      </x:c>
      <x:c r="C337" s="18" t="str">
        <x:v>DEPOSITO SPEI</x:v>
      </x:c>
      <x:c r="D337" s="18" t="str">
        <x:v>LEODEGARIO LUNA LUNA</x:v>
      </x:c>
      <x:c r="E337" s="18" t="str">
        <x:v>BANCOPPEL</x:v>
      </x:c>
      <x:c r="F337" s="17" t="str">
        <x:v>CTA 137045100278414874</x:v>
      </x:c>
      <x:c r="G337" s="19" t="str">
        <x:v>1608260 mza 22 lote 14</x:v>
      </x:c>
      <x:c r="H337" s="20" t="str">
        <x:v>RASTREO 50114874TRANSBPI46513220</x:v>
      </x:c>
      <x:c r="I337" s="19" t="str">
        <x:v>DEPOSITO SPEI | LEODEGARIO LUNA LUNA | BANCOPPEL 137045100278414874 | 1608260 mza 22 lote 14 | CLAVE DE RASTREO 50114874TRANSBPI46513220</x:v>
      </x:c>
      <x:c r="J337" s="21"/>
      <x:c r="K337" s="21" t="n">
        <x:v>3000</x:v>
      </x:c>
      <x:c r="L337" s="21" t="n">
        <x:v>213996.19</x:v>
      </x:c>
      <x:c r="M337" s="22" t="n">
        <x:v>33</x:v>
      </x:c>
    </x:row>
    <x:row r="338" ht="30" customHeight="1">
      <x:c r="A338" s="16" t="n">
        <x:v>46250</x:v>
      </x:c>
      <x:c r="B338" s="17" t="str">
        <x:v>4109328808</x:v>
      </x:c>
      <x:c r="C338" s="18" t="str">
        <x:v>DEPOSITO SPEI</x:v>
      </x:c>
      <x:c r="D338" s="18" t="str">
        <x:v>DANIELA GARCIA ZOPIYACTLE</x:v>
      </x:c>
      <x:c r="E338" s="18" t="str">
        <x:v>BBVA MEXICO</x:v>
      </x:c>
      <x:c r="F338" s="17" t="str">
        <x:v>CTA 012180015692216613</x:v>
      </x:c>
      <x:c r="G338" s="19" t="str">
        <x:v>3107260 M7L28DavidGarciaCuatra</x:v>
      </x:c>
      <x:c r="H338" s="20" t="str">
        <x:v>RASTREO MBAN01002608170067309379</x:v>
      </x:c>
      <x:c r="I338" s="19" t="str">
        <x:v>DEPOSITO SPEI | DANIELA GARCIA ZOPIYACTLE | BBVA MEXICO 012180015692216613 | 3107260 M7L28DavidGarciaCuatra | CLAVE DE RASTREO MBAN01002608170067309379</x:v>
      </x:c>
      <x:c r="J338" s="21"/>
      <x:c r="K338" s="21" t="n">
        <x:v>6706.97</x:v>
      </x:c>
      <x:c r="L338" s="21" t="n">
        <x:v>220703.16</x:v>
      </x:c>
      <x:c r="M338" s="22" t="n">
        <x:v>33</x:v>
      </x:c>
    </x:row>
    <x:row r="339" ht="30" customHeight="1">
      <x:c r="A339" s="16" t="n">
        <x:v>46250</x:v>
      </x:c>
      <x:c r="B339" s="17" t="str">
        <x:v>4109329775</x:v>
      </x:c>
      <x:c r="C339" s="18" t="str">
        <x:v>DEPOSITO SPEI</x:v>
      </x:c>
      <x:c r="D339" s="18" t="str">
        <x:v>FLORENTINO PENA LUNA</x:v>
      </x:c>
      <x:c r="E339" s="18" t="str">
        <x:v>BANCOPPEL</x:v>
      </x:c>
      <x:c r="F339" s="17" t="str">
        <x:v>CTA 137041104935858498</x:v>
      </x:c>
      <x:c r="G339" s="19" t="str">
        <x:v>1608261 PVDM18 L4 FlorentinoPenaLuna</x:v>
      </x:c>
      <x:c r="H339" s="20" t="str">
        <x:v>RASTREO 50118498TRANSBPI48067826</x:v>
      </x:c>
      <x:c r="I339" s="19" t="str">
        <x:v>DEPOSITO SPEI | FLORENTINO PENA LUNA | BANCOPPEL 137041104935858498 | 1608261 PVDM18 L4 FlorentinoPenaLuna | CLAVE DE RASTREO 50118498TRANSBPI48067826</x:v>
      </x:c>
      <x:c r="J339" s="21"/>
      <x:c r="K339" s="21" t="n">
        <x:v>2000</x:v>
      </x:c>
      <x:c r="L339" s="21" t="n">
        <x:v>222703.16</x:v>
      </x:c>
      <x:c r="M339" s="22" t="n">
        <x:v>33</x:v>
      </x:c>
    </x:row>
    <x:row r="340" ht="30" customHeight="1">
      <x:c r="A340" s="16" t="n">
        <x:v>46250</x:v>
      </x:c>
      <x:c r="B340" s="17" t="str">
        <x:v>4109379556</x:v>
      </x:c>
      <x:c r="C340" s="18" t="str">
        <x:v>DEPOSITO SPEI</x:v>
      </x:c>
      <x:c r="D340" s="18" t="str">
        <x:v>ROSALVA NAVARRETE CARABEO</x:v>
      </x:c>
      <x:c r="E340" s="18" t="str">
        <x:v>BANCOPPEL</x:v>
      </x:c>
      <x:c r="F340" s="17" t="str">
        <x:v>CTA 137730100013691604</x:v>
      </x:c>
      <x:c r="G340" s="19" t="str">
        <x:v>1608260 RosalvaNavarrete Maz 12 Lote 28 palo ver</x:v>
      </x:c>
      <x:c r="H340" s="20" t="str">
        <x:v>RASTREO 50111604TRANSBPI48831720</x:v>
      </x:c>
      <x:c r="I340" s="19" t="str">
        <x:v>DEPOSITO SPEI | ROSALVA NAVARRETE CARABEO | BANCOPPEL 137730100013691604 | 1608260 RosalvaNavarrete Maz 12 Lote 28 palo ver | CLAVE DE RASTREO 50111604TRANSBPI48831720</x:v>
      </x:c>
      <x:c r="J340" s="21"/>
      <x:c r="K340" s="21" t="n">
        <x:v>1500</x:v>
      </x:c>
      <x:c r="L340" s="21" t="n">
        <x:v>224203.16</x:v>
      </x:c>
      <x:c r="M340" s="22" t="n">
        <x:v>33</x:v>
      </x:c>
    </x:row>
    <x:row r="341" ht="30" customHeight="1">
      <x:c r="A341" s="16" t="n">
        <x:v>46250</x:v>
      </x:c>
      <x:c r="B341" s="17" t="str">
        <x:v>4109382912</x:v>
      </x:c>
      <x:c r="C341" s="18" t="str">
        <x:v>DEPOSITO SPEI</x:v>
      </x:c>
      <x:c r="D341" s="18" t="str">
        <x:v>ROSALVA NAVARRETE CARABEO</x:v>
      </x:c>
      <x:c r="E341" s="18" t="str">
        <x:v>BANCOPPEL</x:v>
      </x:c>
      <x:c r="F341" s="17" t="str">
        <x:v>CTA 137730100013691604</x:v>
      </x:c>
      <x:c r="G341" s="19" t="str">
        <x:v>1608261 Rosalva Navarrete Maz12 Lote 29palo verd</x:v>
      </x:c>
      <x:c r="H341" s="20" t="str">
        <x:v>RASTREO 50111604TRANSBPI48883680</x:v>
      </x:c>
      <x:c r="I341" s="19" t="str">
        <x:v>DEPOSITO SPEI | ROSALVA NAVARRETE CARABEO | BANCOPPEL 137730100013691604 | 1608261 Rosalva Navarrete Maz12 Lote 29palo verd | CLAVE DE RASTREO 50111604TRANSBPI48883680</x:v>
      </x:c>
      <x:c r="J341" s="21"/>
      <x:c r="K341" s="21" t="n">
        <x:v>1500</x:v>
      </x:c>
      <x:c r="L341" s="21" t="n">
        <x:v>225703.16</x:v>
      </x:c>
      <x:c r="M341" s="22" t="n">
        <x:v>33</x:v>
      </x:c>
    </x:row>
    <x:row r="342" ht="30" customHeight="1">
      <x:c r="A342" s="16" t="n">
        <x:v>46250</x:v>
      </x:c>
      <x:c r="B342" s="17" t="str">
        <x:v>4109410180</x:v>
      </x:c>
      <x:c r="C342" s="18" t="str">
        <x:v>DEPOSITO SPEI</x:v>
      </x:c>
      <x:c r="D342" s="18" t="str">
        <x:v>DULCE PAULINA VEGA QUIROA</x:v>
      </x:c>
      <x:c r="E342" s="18" t="str">
        <x:v>BBVA MEXICO</x:v>
      </x:c>
      <x:c r="F342" s="17" t="str">
        <x:v>CTA 012040011723488881</x:v>
      </x:c>
      <x:c r="G342" s="19" t="str">
        <x:v>3107260 DulceQuiroaM12L6</x:v>
      </x:c>
      <x:c r="H342" s="20" t="str">
        <x:v>RASTREO MBAN01002608170067721080</x:v>
      </x:c>
      <x:c r="I342" s="19" t="str">
        <x:v>DEPOSITO SPEI | DULCE PAULINA VEGA QUIROA | BBVA MEXICO 012040011723488881 | 3107260 DulceQuiroaM12L6 | CLAVE DE RASTREO MBAN01002608170067721080</x:v>
      </x:c>
      <x:c r="J342" s="21"/>
      <x:c r="K342" s="21" t="n">
        <x:v>1500</x:v>
      </x:c>
      <x:c r="L342" s="21" t="n">
        <x:v>227203.16</x:v>
      </x:c>
      <x:c r="M342" s="22" t="n">
        <x:v>33</x:v>
      </x:c>
    </x:row>
    <x:row r="343" ht="30" customHeight="1">
      <x:c r="A343" s="16" t="n">
        <x:v>46250</x:v>
      </x:c>
      <x:c r="B343" s="17" t="str">
        <x:v>4109583330</x:v>
      </x:c>
      <x:c r="C343" s="18" t="str">
        <x:v>DEPOSITO SPEI</x:v>
      </x:c>
      <x:c r="D343" s="18" t="str">
        <x:v>ADRIANA MARIA CARDENAS PALOMERA</x:v>
      </x:c>
      <x:c r="E343" s="18" t="str">
        <x:v>BBVA MEXICO</x:v>
      </x:c>
      <x:c r="F343" s="17" t="str">
        <x:v>CTA 012180015087877052</x:v>
      </x:c>
      <x:c r="G343" s="19" t="str">
        <x:v>3107260 PV M16 L16 ADRIANA M</x:v>
      </x:c>
      <x:c r="H343" s="20" t="str">
        <x:v>RASTREO MBAN01002608170068712161</x:v>
      </x:c>
      <x:c r="I343" s="19" t="str">
        <x:v>DEPOSITO SPEI | ADRIANA MARIA CARDENAS PALOMERA | BBVA MEXICO 012180015087877052 | 3107260 PV M16 L16 ADRIANA M | CLAVE DE RASTREO MBAN01002608170068712161</x:v>
      </x:c>
      <x:c r="J343" s="21"/>
      <x:c r="K343" s="21" t="n">
        <x:v>2500</x:v>
      </x:c>
      <x:c r="L343" s="21" t="n">
        <x:v>229703.16</x:v>
      </x:c>
      <x:c r="M343" s="22" t="n">
        <x:v>33</x:v>
      </x:c>
    </x:row>
    <x:row r="344" ht="30" customHeight="1">
      <x:c r="A344" s="16" t="n">
        <x:v>46250</x:v>
      </x:c>
      <x:c r="B344" s="17" t="str">
        <x:v>4109636798</x:v>
      </x:c>
      <x:c r="C344" s="18" t="str">
        <x:v>DEPOSITO SPEI</x:v>
      </x:c>
      <x:c r="D344" s="18" t="str">
        <x:v>LUIS ABRAHAM PENA NARVAEZ</x:v>
      </x:c>
      <x:c r="E344" s="18" t="str">
        <x:v>BANCOPPEL</x:v>
      </x:c>
      <x:c r="F344" s="17" t="str">
        <x:v>CTA 137622104350865812</x:v>
      </x:c>
      <x:c r="G344" s="19" t="str">
        <x:v>1608260 Transf. a CARLOS AZAEL ARAUZA ROSAS</x:v>
      </x:c>
      <x:c r="H344" s="20" t="str">
        <x:v>RASTREO 50115812TRANSBPI53150820</x:v>
      </x:c>
      <x:c r="I344" s="19" t="str">
        <x:v>DEPOSITO SPEI | LUIS ABRAHAM PENA NARVAEZ | BANCOPPEL 137622104350865812 | 1608260 Transf. a CARLOS AZAEL ARAUZA ROSAS | CLAVE DE RASTREO 50115812TRANSBPI53150820</x:v>
      </x:c>
      <x:c r="J344" s="21"/>
      <x:c r="K344" s="21" t="n">
        <x:v>2944</x:v>
      </x:c>
      <x:c r="L344" s="21" t="n">
        <x:v>232647.16</x:v>
      </x:c>
      <x:c r="M344" s="22" t="n">
        <x:v>33</x:v>
      </x:c>
    </x:row>
    <x:row r="345" ht="30" customHeight="1">
      <x:c r="A345" s="16" t="n">
        <x:v>46250</x:v>
      </x:c>
      <x:c r="B345" s="17" t="str">
        <x:v>4109702232</x:v>
      </x:c>
      <x:c r="C345" s="18" t="str">
        <x:v>DEPOSITO SPEI</x:v>
      </x:c>
      <x:c r="D345" s="18" t="str">
        <x:v>SANDRA JOSEFINA BAILON MARTINEZ</x:v>
      </x:c>
      <x:c r="E345" s="18" t="str">
        <x:v>AZTECA</x:v>
      </x:c>
      <x:c r="F345" s="17" t="str">
        <x:v>CTA 127040013552488644</x:v>
      </x:c>
      <x:c r="G345" s="19" t="str">
        <x:v>1059321 M6 L17 mens agosto 2026</x:v>
      </x:c>
      <x:c r="H345" s="20" t="str">
        <x:v>RASTREO 2608160108445946227H</x:v>
      </x:c>
      <x:c r="I345" s="19" t="str">
        <x:v>DEPOSITO SPEI | SANDRA JOSEFINA BAILON MARTINEZ | AZTECA 127040013552488644 | 1059321 M6 L17 mens agosto 2026 | CLAVE DE RASTREO 2608160108445946227H</x:v>
      </x:c>
      <x:c r="J345" s="21"/>
      <x:c r="K345" s="21" t="n">
        <x:v>2388</x:v>
      </x:c>
      <x:c r="L345" s="21" t="n">
        <x:v>235035.16</x:v>
      </x:c>
      <x:c r="M345" s="22" t="n">
        <x:v>33</x:v>
      </x:c>
    </x:row>
    <x:row r="346" ht="30" customHeight="1">
      <x:c r="A346" s="16" t="n">
        <x:v>46251</x:v>
      </x:c>
      <x:c r="B346" s="17" t="str">
        <x:v>4110012353</x:v>
      </x:c>
      <x:c r="C346" s="18" t="str">
        <x:v>DEPOSITO SPEI</x:v>
      </x:c>
      <x:c r="D346" s="18" t="str">
        <x:v>EDITH GEORGINA RAMIREZ MACIAS</x:v>
      </x:c>
      <x:c r="E346" s="18" t="str">
        <x:v>BANCOPPEL</x:v>
      </x:c>
      <x:c r="F346" s="17" t="str">
        <x:v>CTA 137040105259731880</x:v>
      </x:c>
      <x:c r="G346" s="19" t="str">
        <x:v>1708260 Palo Verde Lote 7 Manzana 25</x:v>
      </x:c>
      <x:c r="H346" s="20" t="str">
        <x:v>RASTREO 50111880TRANSBPI56578213</x:v>
      </x:c>
      <x:c r="I346" s="19" t="str">
        <x:v>DEPOSITO SPEI | EDITH GEORGINA RAMIREZ MACIAS | BANCOPPEL 137040105259731880 | 1708260 Palo Verde Lote 7 Manzana 25 | CLAVE DE RASTREO 50111880TRANSBPI56578213</x:v>
      </x:c>
      <x:c r="J346" s="21"/>
      <x:c r="K346" s="21" t="n">
        <x:v>1500</x:v>
      </x:c>
      <x:c r="L346" s="21" t="n">
        <x:v>236535.16</x:v>
      </x:c>
      <x:c r="M346" s="22" t="n">
        <x:v>33</x:v>
      </x:c>
    </x:row>
    <x:row r="347" ht="30" customHeight="1">
      <x:c r="A347" s="16" t="n">
        <x:v>46251</x:v>
      </x:c>
      <x:c r="B347" s="17" t="str">
        <x:v>4110236944</x:v>
      </x:c>
      <x:c r="C347" s="18" t="str">
        <x:v>SAMS COLA DE BALLENA MX</x:v>
      </x:c>
      <x:c r="D347" s="18" t="str"/>
      <x:c r="E347" s="18" t="str"/>
      <x:c r="F347" s="17" t="str"/>
      <x:c r="G347" s="19" t="str"/>
      <x:c r="H347" s="20" t="str"/>
      <x:c r="I347" s="19" t="str">
        <x:v>SAMS COLA DE BALLENA MX</x:v>
      </x:c>
      <x:c r="J347" s="21" t="n">
        <x:v>9328.1</x:v>
      </x:c>
      <x:c r="K347" s="21"/>
      <x:c r="L347" s="21" t="n">
        <x:v>227207.06</x:v>
      </x:c>
      <x:c r="M347" s="22" t="n">
        <x:v>33</x:v>
      </x:c>
    </x:row>
    <x:row r="348" ht="30" customHeight="1">
      <x:c r="A348" s="16" t="n">
        <x:v>46251</x:v>
      </x:c>
      <x:c r="B348" s="17" t="str">
        <x:v>4110236965</x:v>
      </x:c>
      <x:c r="C348" s="18" t="str">
        <x:v>SAMS COLA DE BALLENA MX</x:v>
      </x:c>
      <x:c r="D348" s="18" t="str"/>
      <x:c r="E348" s="18" t="str"/>
      <x:c r="F348" s="17" t="str"/>
      <x:c r="G348" s="19" t="str">
        <x:v>BANCO INBURSA, S.A. INSTITUCION DE BANCA MULTIPLE, GRUPO</x:v>
      </x:c>
      <x:c r="H348" s="20" t="str"/>
      <x:c r="I348" s="19" t="str">
        <x:v>SAMS COLA DE BALLENA MX | BANCO INBURSA, S.A. INSTITUCION DE BANCA MULTIPLE, GRUPO</x:v>
      </x:c>
      <x:c r="J348" s="21" t="n">
        <x:v>612</x:v>
      </x:c>
      <x:c r="K348" s="21"/>
      <x:c r="L348" s="21" t="n">
        <x:v>226595.06</x:v>
      </x:c>
      <x:c r="M348" s="22" t="n">
        <x:v>33</x:v>
      </x:c>
    </x:row>
    <x:row r="349" ht="30" customHeight="1">
      <x:c r="A349" s="16" t="n">
        <x:v>46251</x:v>
      </x:c>
      <x:c r="B349" s="17" t="str">
        <x:v>4110236982</x:v>
      </x:c>
      <x:c r="C349" s="18" t="str">
        <x:v>LIVERPOOL LA PAZ MX</x:v>
      </x:c>
      <x:c r="D349" s="18" t="str"/>
      <x:c r="E349" s="18" t="str"/>
      <x:c r="F349" s="17" t="str"/>
      <x:c r="G349" s="19" t="str"/>
      <x:c r="H349" s="20" t="str"/>
      <x:c r="I349" s="19" t="str">
        <x:v>LIVERPOOL LA PAZ MX</x:v>
      </x:c>
      <x:c r="J349" s="21" t="n">
        <x:v>2098.6</x:v>
      </x:c>
      <x:c r="K349" s="21"/>
      <x:c r="L349" s="21" t="n">
        <x:v>224496.46</x:v>
      </x:c>
      <x:c r="M349" s="22" t="n">
        <x:v>34</x:v>
      </x:c>
    </x:row>
    <x:row r="350" ht="30" customHeight="1">
      <x:c r="A350" s="16" t="n">
        <x:v>46251</x:v>
      </x:c>
      <x:c r="B350" s="17" t="str">
        <x:v>4110236998</x:v>
      </x:c>
      <x:c r="C350" s="18" t="str">
        <x:v>GASO OLACHEA MX</x:v>
      </x:c>
      <x:c r="D350" s="18" t="str"/>
      <x:c r="E350" s="18" t="str"/>
      <x:c r="F350" s="17" t="str"/>
      <x:c r="G350" s="19" t="str"/>
      <x:c r="H350" s="20" t="str"/>
      <x:c r="I350" s="19" t="str">
        <x:v>GASO OLACHEA MX</x:v>
      </x:c>
      <x:c r="J350" s="21" t="n">
        <x:v>200</x:v>
      </x:c>
      <x:c r="K350" s="21"/>
      <x:c r="L350" s="21" t="n">
        <x:v>224296.46</x:v>
      </x:c>
      <x:c r="M350" s="22" t="n">
        <x:v>34</x:v>
      </x:c>
    </x:row>
    <x:row r="351" ht="30" customHeight="1">
      <x:c r="A351" s="16" t="n">
        <x:v>46251</x:v>
      </x:c>
      <x:c r="B351" s="17" t="str">
        <x:v>4110237014</x:v>
      </x:c>
      <x:c r="C351" s="18" t="str">
        <x:v>IS LA PAZ MX</x:v>
      </x:c>
      <x:c r="D351" s="18" t="str"/>
      <x:c r="E351" s="18" t="str"/>
      <x:c r="F351" s="17" t="str"/>
      <x:c r="G351" s="19" t="str"/>
      <x:c r="H351" s="20" t="str"/>
      <x:c r="I351" s="19" t="str">
        <x:v>IS LA PAZ MX</x:v>
      </x:c>
      <x:c r="J351" s="21" t="n">
        <x:v>2599</x:v>
      </x:c>
      <x:c r="K351" s="21"/>
      <x:c r="L351" s="21" t="n">
        <x:v>221697.46</x:v>
      </x:c>
      <x:c r="M351" s="22" t="n">
        <x:v>34</x:v>
      </x:c>
    </x:row>
    <x:row r="352" ht="30" customHeight="1">
      <x:c r="A352" s="16" t="n">
        <x:v>46251</x:v>
      </x:c>
      <x:c r="B352" s="17" t="str">
        <x:v>4110505482</x:v>
      </x:c>
      <x:c r="C352" s="18" t="str">
        <x:v>DEPOSITO SPEI</x:v>
      </x:c>
      <x:c r="D352" s="18" t="str">
        <x:v>DANIEL CAZARES BECERRA</x:v>
      </x:c>
      <x:c r="E352" s="18" t="str">
        <x:v>BBVA MEXICO</x:v>
      </x:c>
      <x:c r="F352" s="17" t="str">
        <x:v>CTA 012164015612711729</x:v>
      </x:c>
      <x:c r="G352" s="19" t="str">
        <x:v>3107260 M23 L4 PALO VERDE DA</x:v>
      </x:c>
      <x:c r="H352" s="20" t="str">
        <x:v>RASTREO MBAN01002608170070633690</x:v>
      </x:c>
      <x:c r="I352" s="19" t="str">
        <x:v>DEPOSITO SPEI | DANIEL CAZARES BECERRA | BBVA MEXICO 012164015612711729 | 3107260 M23 L4 PALO VERDE DA | CLAVE DE RASTREO MBAN01002608170070633690</x:v>
      </x:c>
      <x:c r="J352" s="21"/>
      <x:c r="K352" s="21" t="n">
        <x:v>1500</x:v>
      </x:c>
      <x:c r="L352" s="21" t="n">
        <x:v>223197.46</x:v>
      </x:c>
      <x:c r="M352" s="22" t="n">
        <x:v>34</x:v>
      </x:c>
    </x:row>
    <x:row r="353" ht="30" customHeight="1">
      <x:c r="A353" s="16" t="n">
        <x:v>46251</x:v>
      </x:c>
      <x:c r="B353" s="17" t="str">
        <x:v>4110576837</x:v>
      </x:c>
      <x:c r="C353" s="18" t="str">
        <x:v>DEPOSITO SPEI</x:v>
      </x:c>
      <x:c r="D353" s="18" t="str">
        <x:v>MARCELA GALVEZ FLORES</x:v>
      </x:c>
      <x:c r="E353" s="18" t="str">
        <x:v>SANTANDER</x:v>
      </x:c>
      <x:c r="F353" s="17" t="str">
        <x:v>CTA 014045567929329851</x:v>
      </x:c>
      <x:c r="G353" s="19" t="str">
        <x:v>5427452 TRANSFERENCIA A CARLOS AZARL ARAUZA ROSA</x:v>
      </x:c>
      <x:c r="H353" s="20" t="str">
        <x:v>RASTREO 2026081740014BMOVP000440927020</x:v>
      </x:c>
      <x:c r="I353" s="19" t="str">
        <x:v>DEPOSITO SPEI | MARCELA GALVEZ FLORES | SANTANDER 014045567929329851 | 5427452 TRANSFERENCIA A CARLOS AZARL ARAUZA ROSA | CLAVE DE RASTREO 2026081740014BMOVP000440927020</x:v>
      </x:c>
      <x:c r="J353" s="21"/>
      <x:c r="K353" s="21" t="n">
        <x:v>1500</x:v>
      </x:c>
      <x:c r="L353" s="21" t="n">
        <x:v>224697.46</x:v>
      </x:c>
      <x:c r="M353" s="22" t="n">
        <x:v>34</x:v>
      </x:c>
    </x:row>
    <x:row r="354" ht="30" customHeight="1">
      <x:c r="A354" s="16" t="n">
        <x:v>46251</x:v>
      </x:c>
      <x:c r="B354" s="17" t="str">
        <x:v>4110850547</x:v>
      </x:c>
      <x:c r="C354" s="18" t="str">
        <x:v>DEPOSITO SPEI</x:v>
      </x:c>
      <x:c r="D354" s="18" t="str">
        <x:v>IVAN CASTRO MADRIGAL</x:v>
      </x:c>
      <x:c r="E354" s="18" t="str">
        <x:v>BBVA MEXICO</x:v>
      </x:c>
      <x:c r="F354" s="17" t="str">
        <x:v>CTA 012040001990955788</x:v>
      </x:c>
      <x:c r="G354" s="19" t="str">
        <x:v>3107260 LOTE 4 MZ 15</x:v>
      </x:c>
      <x:c r="H354" s="20" t="str">
        <x:v>RASTREO MBAN01002608170071305507</x:v>
      </x:c>
      <x:c r="I354" s="19" t="str">
        <x:v>DEPOSITO SPEI | IVAN CASTRO MADRIGAL | BBVA MEXICO 012040001990955788 | 3107260 LOTE 4 MZ 15 | CLAVE DE RASTREO MBAN01002608170071305507</x:v>
      </x:c>
      <x:c r="J354" s="21"/>
      <x:c r="K354" s="21" t="n">
        <x:v>1500</x:v>
      </x:c>
      <x:c r="L354" s="21" t="n">
        <x:v>226197.46</x:v>
      </x:c>
      <x:c r="M354" s="22" t="n">
        <x:v>34</x:v>
      </x:c>
    </x:row>
    <x:row r="355" ht="30" customHeight="1">
      <x:c r="A355" s="16" t="n">
        <x:v>46251</x:v>
      </x:c>
      <x:c r="B355" s="17" t="str">
        <x:v>4110925610</x:v>
      </x:c>
      <x:c r="C355" s="18" t="str">
        <x:v>DEPOSITO SPEI</x:v>
      </x:c>
      <x:c r="D355" s="18" t="str">
        <x:v>VIOLETA CASARRUBIA HERNANDEZ</x:v>
      </x:c>
      <x:c r="E355" s="18" t="str">
        <x:v>Mercado Pago W</x:v>
      </x:c>
      <x:c r="F355" s="17" t="str">
        <x:v>CTA 722969010720545542</x:v>
      </x:c>
      <x:c r="G355" s="19" t="str">
        <x:v>4310554 MERCADO*PAGO</x:v>
      </x:c>
      <x:c r="H355" s="20" t="str">
        <x:v>RASTREO CPO174294310554</x:v>
      </x:c>
      <x:c r="I355" s="19" t="str">
        <x:v>DEPOSITO SPEI | VIOLETA CASARRUBIA HERNANDEZ | Mercado Pago W 722969010720545542 | 4310554 MERCADO*PAGO | CLAVE DE RASTREO CPO174294310554</x:v>
      </x:c>
      <x:c r="J355" s="21"/>
      <x:c r="K355" s="21" t="n">
        <x:v>4770</x:v>
      </x:c>
      <x:c r="L355" s="21" t="n">
        <x:v>230967.46</x:v>
      </x:c>
      <x:c r="M355" s="22" t="n">
        <x:v>34</x:v>
      </x:c>
    </x:row>
    <x:row r="356" ht="30" customHeight="1">
      <x:c r="A356" s="16" t="n">
        <x:v>46251</x:v>
      </x:c>
      <x:c r="B356" s="17" t="str">
        <x:v>4110984838</x:v>
      </x:c>
      <x:c r="C356" s="18" t="str">
        <x:v>DEPOSITO SPEI</x:v>
      </x:c>
      <x:c r="D356" s="18" t="str">
        <x:v>ROSA ADILENE VEGA VELAZQUEZ</x:v>
      </x:c>
      <x:c r="E356" s="18" t="str">
        <x:v>BBVA MEXICO</x:v>
      </x:c>
      <x:c r="F356" s="17" t="str">
        <x:v>CTA 012180015204983279</x:v>
      </x:c>
      <x:c r="G356" s="19" t="str">
        <x:v>3107260 palo verde manzana 27 lote12</x:v>
      </x:c>
      <x:c r="H356" s="20" t="str">
        <x:v>RASTREO MBAN01002608170071701934</x:v>
      </x:c>
      <x:c r="I356" s="19" t="str">
        <x:v>DEPOSITO SPEI | ROSA ADILENE VEGA VELAZQUEZ | BBVA MEXICO 012180015204983279 | 3107260 palo verde manzana 27 lote12 | CLAVE DE RASTREO MBAN01002608170071701934</x:v>
      </x:c>
      <x:c r="J356" s="21"/>
      <x:c r="K356" s="21" t="n">
        <x:v>1500</x:v>
      </x:c>
      <x:c r="L356" s="21" t="n">
        <x:v>232467.46</x:v>
      </x:c>
      <x:c r="M356" s="22" t="n">
        <x:v>34</x:v>
      </x:c>
    </x:row>
    <x:row r="357" ht="30" customHeight="1">
      <x:c r="A357" s="16" t="n">
        <x:v>46251</x:v>
      </x:c>
      <x:c r="B357" s="17" t="str">
        <x:v>4111007967</x:v>
      </x:c>
      <x:c r="C357" s="18" t="str">
        <x:v>DEPOSITO SPEI</x:v>
      </x:c>
      <x:c r="D357" s="18" t="str">
        <x:v>MARIA DE JESUS CRUZ VELAZQUEZ</x:v>
      </x:c>
      <x:c r="E357" s="18" t="str">
        <x:v>BBVA MEXICO</x:v>
      </x:c>
      <x:c r="F357" s="17" t="str">
        <x:v>CTA 012180015051322481</x:v>
      </x:c>
      <x:c r="G357" s="19" t="str">
        <x:v>3107260 p</x:v>
      </x:c>
      <x:c r="H357" s="20" t="str">
        <x:v>RASTREO MBAN01002608170071807772</x:v>
      </x:c>
      <x:c r="I357" s="19" t="str">
        <x:v>DEPOSITO SPEI | MARIA DE JESUS CRUZ VELAZQUEZ | BBVA MEXICO 012180015051322481 | 3107260 p | CLAVE DE RASTREO MBAN01002608170071807772</x:v>
      </x:c>
      <x:c r="J357" s="21"/>
      <x:c r="K357" s="21" t="n">
        <x:v>1500</x:v>
      </x:c>
      <x:c r="L357" s="21" t="n">
        <x:v>233967.46</x:v>
      </x:c>
      <x:c r="M357" s="22" t="n">
        <x:v>34</x:v>
      </x:c>
    </x:row>
    <x:row r="358" ht="30" customHeight="1">
      <x:c r="A358" s="16" t="n">
        <x:v>46251</x:v>
      </x:c>
      <x:c r="B358" s="17" t="str">
        <x:v>4111011132</x:v>
      </x:c>
      <x:c r="C358" s="18" t="str">
        <x:v>DEPOSITO SPEI</x:v>
      </x:c>
      <x:c r="D358" s="18" t="str">
        <x:v>MARIA DE JESUS CRUZ VELAZQUEZ</x:v>
      </x:c>
      <x:c r="E358" s="18" t="str">
        <x:v>BBVA MEXICO</x:v>
      </x:c>
      <x:c r="F358" s="17" t="str">
        <x:v>CTA 012180015051322481</x:v>
      </x:c>
      <x:c r="G358" s="19" t="str">
        <x:v>3107260 p</x:v>
      </x:c>
      <x:c r="H358" s="20" t="str">
        <x:v>RASTREO MBAN01002608170071821310</x:v>
      </x:c>
      <x:c r="I358" s="19" t="str">
        <x:v>DEPOSITO SPEI | MARIA DE JESUS CRUZ VELAZQUEZ | BBVA MEXICO 012180015051322481 | 3107260 p | CLAVE DE RASTREO MBAN01002608170071821310</x:v>
      </x:c>
      <x:c r="J358" s="21"/>
      <x:c r="K358" s="21" t="n">
        <x:v>1500</x:v>
      </x:c>
      <x:c r="L358" s="21" t="n">
        <x:v>235467.46</x:v>
      </x:c>
      <x:c r="M358" s="22" t="n">
        <x:v>34</x:v>
      </x:c>
    </x:row>
    <x:row r="359" ht="30" customHeight="1">
      <x:c r="A359" s="16" t="n">
        <x:v>46251</x:v>
      </x:c>
      <x:c r="B359" s="17" t="str">
        <x:v>4111022361</x:v>
      </x:c>
      <x:c r="C359" s="18" t="str">
        <x:v>DEPOSITO SPEI</x:v>
      </x:c>
      <x:c r="D359" s="18" t="str">
        <x:v>MARIA TERESA DORAME REYES</x:v>
      </x:c>
      <x:c r="E359" s="18" t="str">
        <x:v>BANORTE</x:v>
      </x:c>
      <x:c r="F359" s="17" t="str">
        <x:v>CTA 072040013573653655</x:v>
      </x:c>
      <x:c r="G359" s="19" t="str">
        <x:v>260817 pago 15</x:v>
      </x:c>
      <x:c r="H359" s="20" t="str">
        <x:v>RASTREO 38432P04202608175663787990</x:v>
      </x:c>
      <x:c r="I359" s="19" t="str">
        <x:v>DEPOSITO SPEI | MARIA TERESA DORAME REYES | BANORTE 072040013573653655 | 260817 pago 15 | CLAVE DE RASTREO 38432P04202608175663787990</x:v>
      </x:c>
      <x:c r="J359" s="21"/>
      <x:c r="K359" s="21" t="n">
        <x:v>2389</x:v>
      </x:c>
      <x:c r="L359" s="21" t="n">
        <x:v>237856.46</x:v>
      </x:c>
      <x:c r="M359" s="22" t="n">
        <x:v>34</x:v>
      </x:c>
    </x:row>
    <x:row r="360" ht="30" customHeight="1">
      <x:c r="A360" s="16" t="n">
        <x:v>46251</x:v>
      </x:c>
      <x:c r="B360" s="17" t="str">
        <x:v>4111064431</x:v>
      </x:c>
      <x:c r="C360" s="18" t="str">
        <x:v>DEPOSITO SPEI</x:v>
      </x:c>
      <x:c r="D360" s="18" t="str">
        <x:v>JESUS MANUEL GONZALEZ TORRES</x:v>
      </x:c>
      <x:c r="E360" s="18" t="str">
        <x:v>SANTANDER</x:v>
      </x:c>
      <x:c r="F360" s="17" t="str">
        <x:v>CTA 014040566736953872</x:v>
      </x:c>
      <x:c r="G360" s="19" t="str">
        <x:v>3568148 P.V. M18 L25 JESUS MANUEL GONZALEZ TORRE</x:v>
      </x:c>
      <x:c r="H360" s="20" t="str">
        <x:v>RASTREO 2026081740014BMOVP000449850500</x:v>
      </x:c>
      <x:c r="I360" s="19" t="str">
        <x:v>DEPOSITO SPEI | JESUS MANUEL GONZALEZ TORRES | SANTANDER 014040566736953872 | 3568148 P.V. M18 L25 JESUS MANUEL GONZALEZ TORRE | CLAVE DE RASTREO 2026081740014BMOVP000449850500</x:v>
      </x:c>
      <x:c r="J360" s="21"/>
      <x:c r="K360" s="21" t="n">
        <x:v>2944</x:v>
      </x:c>
      <x:c r="L360" s="21" t="n">
        <x:v>240800.46</x:v>
      </x:c>
      <x:c r="M360" s="22" t="n">
        <x:v>34</x:v>
      </x:c>
    </x:row>
    <x:row r="361" ht="30" customHeight="1">
      <x:c r="A361" s="16" t="n">
        <x:v>46251</x:v>
      </x:c>
      <x:c r="B361" s="17" t="str">
        <x:v>4111110434</x:v>
      </x:c>
      <x:c r="C361" s="18" t="str">
        <x:v>DEPOSITO SPEI</x:v>
      </x:c>
      <x:c r="D361" s="18" t="str">
        <x:v>ALEJANDRINA,HERNANDEZ/MORILLO</x:v>
      </x:c>
      <x:c r="E361" s="18" t="str">
        <x:v>BANAMEX</x:v>
      </x:c>
      <x:c r="F361" s="17" t="str">
        <x:v>CTA 002040001172050880</x:v>
      </x:c>
      <x:c r="G361" s="19" t="str">
        <x:v>170826 Leonor morillo M 24 L11</x:v>
      </x:c>
      <x:c r="H361" s="20" t="str">
        <x:v>RASTREO 085908017084322962</x:v>
      </x:c>
      <x:c r="I361" s="19" t="str">
        <x:v>DEPOSITO SPEI | ALEJANDRINA,HERNANDEZ/MORILLO | BANAMEX 002040001172050880 | 170826 Leonor morillo M 24 L11 | CLAVE DE RASTREO 085908017084322962</x:v>
      </x:c>
      <x:c r="J361" s="21"/>
      <x:c r="K361" s="21" t="n">
        <x:v>1500</x:v>
      </x:c>
      <x:c r="L361" s="21" t="n">
        <x:v>242300.46</x:v>
      </x:c>
      <x:c r="M361" s="22" t="n">
        <x:v>35</x:v>
      </x:c>
    </x:row>
    <x:row r="362" ht="30" customHeight="1">
      <x:c r="A362" s="16" t="n">
        <x:v>46251</x:v>
      </x:c>
      <x:c r="B362" s="17" t="str">
        <x:v>4111112755</x:v>
      </x:c>
      <x:c r="C362" s="18" t="str">
        <x:v>DEPOSITO SPEI</x:v>
      </x:c>
      <x:c r="D362" s="18" t="str">
        <x:v>ALEJANDRINA,HERNANDEZ/MORILLO</x:v>
      </x:c>
      <x:c r="E362" s="18" t="str">
        <x:v>BANAMEX</x:v>
      </x:c>
      <x:c r="F362" s="17" t="str">
        <x:v>CTA 002040001172050880</x:v>
      </x:c>
      <x:c r="G362" s="19" t="str">
        <x:v>170826 Alejandrina hdez M26 L42</x:v>
      </x:c>
      <x:c r="H362" s="20" t="str">
        <x:v>RASTREO 085908038124322963</x:v>
      </x:c>
      <x:c r="I362" s="19" t="str">
        <x:v>DEPOSITO SPEI | ALEJANDRINA,HERNANDEZ/MORILLO | BANAMEX 002040001172050880 | 170826 Alejandrina hdez M26 L42 | CLAVE DE RASTREO 085908038124322963</x:v>
      </x:c>
      <x:c r="J362" s="21"/>
      <x:c r="K362" s="21" t="n">
        <x:v>1500</x:v>
      </x:c>
      <x:c r="L362" s="21" t="n">
        <x:v>243800.46</x:v>
      </x:c>
      <x:c r="M362" s="22" t="n">
        <x:v>35</x:v>
      </x:c>
    </x:row>
    <x:row r="363" ht="30" customHeight="1">
      <x:c r="A363" s="16" t="n">
        <x:v>46251</x:v>
      </x:c>
      <x:c r="B363" s="17" t="str">
        <x:v>4111123621</x:v>
      </x:c>
      <x:c r="C363" s="18" t="str">
        <x:v>DEPOSITO SPEI</x:v>
      </x:c>
      <x:c r="D363" s="18" t="str">
        <x:v>ROMAN CARRILLO DE LA TORRE</x:v>
      </x:c>
      <x:c r="E363" s="18" t="str">
        <x:v>Mercado Pago W</x:v>
      </x:c>
      <x:c r="F363" s="17" t="str">
        <x:v>CTA 722969028255656969</x:v>
      </x:c>
      <x:c r="G363" s="19" t="str">
        <x:v>3408841 Lote16Manzana24NataliaElizabethgutierrez</x:v>
      </x:c>
      <x:c r="H363" s="20" t="str">
        <x:v>RASTREO CPO173383408841</x:v>
      </x:c>
      <x:c r="I363" s="19" t="str">
        <x:v>DEPOSITO SPEI | ROMAN CARRILLO DE LA TORRE | Mercado Pago W 722969028255656969 | 3408841 Lote16Manzana24NataliaElizabethgutierrez | CLAVE DE RASTREO CPO173383408841</x:v>
      </x:c>
      <x:c r="J363" s="21"/>
      <x:c r="K363" s="21" t="n">
        <x:v>2389</x:v>
      </x:c>
      <x:c r="L363" s="21" t="n">
        <x:v>246189.46</x:v>
      </x:c>
      <x:c r="M363" s="22" t="n">
        <x:v>35</x:v>
      </x:c>
    </x:row>
    <x:row r="364" ht="30" customHeight="1">
      <x:c r="A364" s="16" t="n">
        <x:v>46251</x:v>
      </x:c>
      <x:c r="B364" s="17" t="str">
        <x:v>4111168916</x:v>
      </x:c>
      <x:c r="C364" s="18" t="str">
        <x:v>DEPOSITO SPEI</x:v>
      </x:c>
      <x:c r="D364" s="18" t="str">
        <x:v>ALEJANDRA ARIZBETH MORENO ENCARNACION</x:v>
      </x:c>
      <x:c r="E364" s="18" t="str">
        <x:v>BBVA MEXICO</x:v>
      </x:c>
      <x:c r="F364" s="17" t="str">
        <x:v>CTA 012040015704251871</x:v>
      </x:c>
      <x:c r="G364" s="19" t="str">
        <x:v>3107260 Alejandra Moreno M6 L13 Palo Verde</x:v>
      </x:c>
      <x:c r="H364" s="20" t="str">
        <x:v>RASTREO MBAN01002608170072492843</x:v>
      </x:c>
      <x:c r="I364" s="19" t="str">
        <x:v>DEPOSITO SPEI | ALEJANDRA ARIZBETH MORENO ENCARNACION | BBVA MEXICO 012040015704251871 | 3107260 Alejandra Moreno M6 L13 Palo Verde | CLAVE DE RASTREO MBAN01002608170072492843</x:v>
      </x:c>
      <x:c r="J364" s="21"/>
      <x:c r="K364" s="21" t="n">
        <x:v>1500</x:v>
      </x:c>
      <x:c r="L364" s="21" t="n">
        <x:v>247689.46</x:v>
      </x:c>
      <x:c r="M364" s="22" t="n">
        <x:v>35</x:v>
      </x:c>
    </x:row>
    <x:row r="365" ht="30" customHeight="1">
      <x:c r="A365" s="16" t="n">
        <x:v>46251</x:v>
      </x:c>
      <x:c r="B365" s="17" t="str">
        <x:v>4111189402</x:v>
      </x:c>
      <x:c r="C365" s="18" t="str">
        <x:v>DEPOSITO SPEI</x:v>
      </x:c>
      <x:c r="D365" s="18" t="str">
        <x:v>MELITON VILLA CASTRO</x:v>
      </x:c>
      <x:c r="E365" s="18" t="str">
        <x:v>BBVA MEXICO</x:v>
      </x:c>
      <x:c r="F365" s="17" t="str">
        <x:v>CTA 012040015601047955</x:v>
      </x:c>
      <x:c r="G365" s="19" t="str">
        <x:v>3107260 lote 12 manzana 21 meliton villa cstro</x:v>
      </x:c>
      <x:c r="H365" s="20" t="str">
        <x:v>RASTREO MBAN01002608170072583240</x:v>
      </x:c>
      <x:c r="I365" s="19" t="str">
        <x:v>DEPOSITO SPEI | MELITON VILLA CASTRO | BBVA MEXICO 012040015601047955 | 3107260 lote 12 manzana 21 meliton villa cstro | CLAVE DE RASTREO MBAN01002608170072583240</x:v>
      </x:c>
      <x:c r="J365" s="21"/>
      <x:c r="K365" s="21" t="n">
        <x:v>1500</x:v>
      </x:c>
      <x:c r="L365" s="21" t="n">
        <x:v>249189.46</x:v>
      </x:c>
      <x:c r="M365" s="22" t="n">
        <x:v>35</x:v>
      </x:c>
    </x:row>
    <x:row r="366" ht="30" customHeight="1">
      <x:c r="A366" s="16" t="n">
        <x:v>46251</x:v>
      </x:c>
      <x:c r="B366" s="17" t="str">
        <x:v>4111189771</x:v>
      </x:c>
      <x:c r="C366" s="18" t="str">
        <x:v>DEPOSITO SPEI</x:v>
      </x:c>
      <x:c r="D366" s="18" t="str">
        <x:v>MARIA TERESA DORAME REYES</x:v>
      </x:c>
      <x:c r="E366" s="18" t="str">
        <x:v>BANORTE</x:v>
      </x:c>
      <x:c r="F366" s="17" t="str">
        <x:v>CTA 072040013573653655</x:v>
      </x:c>
      <x:c r="G366" s="19" t="str">
        <x:v>260817 recargos</x:v>
      </x:c>
      <x:c r="H366" s="20" t="str">
        <x:v>RASTREO 3843CP01202608175664279359</x:v>
      </x:c>
      <x:c r="I366" s="19" t="str">
        <x:v>DEPOSITO SPEI | MARIA TERESA DORAME REYES | BANORTE 072040013573653655 | 260817 recargos | CLAVE DE RASTREO 3843CP01202608175664279359</x:v>
      </x:c>
      <x:c r="J366" s="21"/>
      <x:c r="K366" s="21" t="n">
        <x:v>1200</x:v>
      </x:c>
      <x:c r="L366" s="21" t="n">
        <x:v>250389.46</x:v>
      </x:c>
      <x:c r="M366" s="22" t="n">
        <x:v>35</x:v>
      </x:c>
    </x:row>
    <x:row r="367" ht="30" customHeight="1">
      <x:c r="A367" s="16" t="n">
        <x:v>46251</x:v>
      </x:c>
      <x:c r="B367" s="17" t="str">
        <x:v>4111236088</x:v>
      </x:c>
      <x:c r="C367" s="18" t="str">
        <x:v>DEPOSITO SPEI</x:v>
      </x:c>
      <x:c r="D367" s="18" t="str">
        <x:v>DANIELA URBINA RODRIGUEZ</x:v>
      </x:c>
      <x:c r="E367" s="18" t="str">
        <x:v>BANORTE</x:v>
      </x:c>
      <x:c r="F367" s="17" t="str">
        <x:v>CTA 072040013652528449</x:v>
      </x:c>
      <x:c r="G367" s="19" t="str">
        <x:v>260817 Sin informaci n</x:v>
      </x:c>
      <x:c r="H367" s="20" t="str">
        <x:v>RASTREO 3843CP05202608175664417132</x:v>
      </x:c>
      <x:c r="I367" s="19" t="str">
        <x:v>DEPOSITO SPEI | DANIELA URBINA RODRIGUEZ | BANORTE 072040013652528449 | 260817 Sin informaci n | CLAVE DE RASTREO 3843CP05202608175664417132</x:v>
      </x:c>
      <x:c r="J367" s="21"/>
      <x:c r="K367" s="21" t="n">
        <x:v>2805</x:v>
      </x:c>
      <x:c r="L367" s="21" t="n">
        <x:v>253194.46</x:v>
      </x:c>
      <x:c r="M367" s="22" t="n">
        <x:v>35</x:v>
      </x:c>
    </x:row>
    <x:row r="368" ht="30" customHeight="1">
      <x:c r="A368" s="16" t="n">
        <x:v>46251</x:v>
      </x:c>
      <x:c r="B368" s="17" t="str">
        <x:v>4111281908</x:v>
      </x:c>
      <x:c r="C368" s="18" t="str">
        <x:v>OXXOALTAVELA CEN MX</x:v>
      </x:c>
      <x:c r="D368" s="18" t="str"/>
      <x:c r="E368" s="18" t="str"/>
      <x:c r="F368" s="17" t="str"/>
      <x:c r="G368" s="19" t="str"/>
      <x:c r="H368" s="20" t="str"/>
      <x:c r="I368" s="19" t="str">
        <x:v>OXXOALTAVELA CEN MX</x:v>
      </x:c>
      <x:c r="J368" s="21" t="n">
        <x:v>443.5</x:v>
      </x:c>
      <x:c r="K368" s="21"/>
      <x:c r="L368" s="21" t="n">
        <x:v>252750.96</x:v>
      </x:c>
      <x:c r="M368" s="22" t="n">
        <x:v>35</x:v>
      </x:c>
    </x:row>
    <x:row r="369" ht="30" customHeight="1">
      <x:c r="A369" s="16" t="n">
        <x:v>46251</x:v>
      </x:c>
      <x:c r="B369" s="17" t="str">
        <x:v>4111281935</x:v>
      </x:c>
      <x:c r="C369" s="18" t="str">
        <x:v>GAS EMILIANO ZAPATA MX</x:v>
      </x:c>
      <x:c r="D369" s="18" t="str"/>
      <x:c r="E369" s="18" t="str"/>
      <x:c r="F369" s="17" t="str"/>
      <x:c r="G369" s="19" t="str"/>
      <x:c r="H369" s="20" t="str"/>
      <x:c r="I369" s="19" t="str">
        <x:v>GAS EMILIANO ZAPATA MX</x:v>
      </x:c>
      <x:c r="J369" s="21" t="n">
        <x:v>1044.65</x:v>
      </x:c>
      <x:c r="K369" s="21"/>
      <x:c r="L369" s="21" t="n">
        <x:v>251706.31</x:v>
      </x:c>
      <x:c r="M369" s="22" t="n">
        <x:v>35</x:v>
      </x:c>
    </x:row>
    <x:row r="370" ht="30" customHeight="1">
      <x:c r="A370" s="16" t="n">
        <x:v>46251</x:v>
      </x:c>
      <x:c r="B370" s="17" t="str">
        <x:v>4111292715</x:v>
      </x:c>
      <x:c r="C370" s="18" t="str">
        <x:v>DEPOSITO SPEI</x:v>
      </x:c>
      <x:c r="D370" s="18" t="str">
        <x:v>JESUS DANIEL GARCIA VICTORIA</x:v>
      </x:c>
      <x:c r="E370" s="18" t="str">
        <x:v>BBVA MEXICO</x:v>
      </x:c>
      <x:c r="F370" s="17" t="str">
        <x:v>CTA 012180027918269808</x:v>
      </x:c>
      <x:c r="G370" s="19" t="str">
        <x:v>3107260 M7L9jesusgarcia</x:v>
      </x:c>
      <x:c r="H370" s="20" t="str">
        <x:v>RASTREO MBAN01002608170072913005</x:v>
      </x:c>
      <x:c r="I370" s="19" t="str">
        <x:v>DEPOSITO SPEI | JESUS DANIEL GARCIA VICTORIA | BBVA MEXICO 012180027918269808 | 3107260 M7L9jesusgarcia | CLAVE DE RASTREO MBAN01002608170072913005</x:v>
      </x:c>
      <x:c r="J370" s="21"/>
      <x:c r="K370" s="21" t="n">
        <x:v>3489</x:v>
      </x:c>
      <x:c r="L370" s="21" t="n">
        <x:v>255195.31</x:v>
      </x:c>
      <x:c r="M370" s="22" t="n">
        <x:v>35</x:v>
      </x:c>
    </x:row>
    <x:row r="371" ht="30" customHeight="1">
      <x:c r="A371" s="16" t="n">
        <x:v>46251</x:v>
      </x:c>
      <x:c r="B371" s="17" t="str">
        <x:v>4111327270</x:v>
      </x:c>
      <x:c r="C371" s="18" t="str">
        <x:v>DEPOSITO SPEI</x:v>
      </x:c>
      <x:c r="D371" s="18" t="str">
        <x:v>MONICA GONZALEZ BATRES</x:v>
      </x:c>
      <x:c r="E371" s="18" t="str">
        <x:v>BANCOPPEL</x:v>
      </x:c>
      <x:c r="F371" s="17" t="str">
        <x:v>CTA 137028104581912426</x:v>
      </x:c>
      <x:c r="G371" s="19" t="str">
        <x:v>1708260 M21L9Monica Gonzalez Batres</x:v>
      </x:c>
      <x:c r="H371" s="20" t="str">
        <x:v>RASTREO 50112426TRANSBPI63821310</x:v>
      </x:c>
      <x:c r="I371" s="19" t="str">
        <x:v>DEPOSITO SPEI | MONICA GONZALEZ BATRES | BANCOPPEL 137028104581912426 | 1708260 M21L9Monica Gonzalez Batres | CLAVE DE RASTREO 50112426TRANSBPI63821310</x:v>
      </x:c>
      <x:c r="J371" s="21"/>
      <x:c r="K371" s="21" t="n">
        <x:v>1500</x:v>
      </x:c>
      <x:c r="L371" s="21" t="n">
        <x:v>256695.31</x:v>
      </x:c>
      <x:c r="M371" s="22" t="n">
        <x:v>35</x:v>
      </x:c>
    </x:row>
    <x:row r="372" ht="30" customHeight="1">
      <x:c r="A372" s="16" t="n">
        <x:v>46251</x:v>
      </x:c>
      <x:c r="B372" s="17" t="str">
        <x:v>4111343642</x:v>
      </x:c>
      <x:c r="C372" s="18" t="str">
        <x:v>DEPOSITO SPEI</x:v>
      </x:c>
      <x:c r="D372" s="18" t="str">
        <x:v>RAMIREZ JAUREGUI NICOLAS</x:v>
      </x:c>
      <x:c r="E372" s="18" t="str">
        <x:v>AZTECA</x:v>
      </x:c>
      <x:c r="F372" s="17" t="str">
        <x:v>CTA 127040013310986896</x:v>
      </x:c>
      <x:c r="G372" s="19" t="str">
        <x:v>1059321 palo ve m13 Lote 16</x:v>
      </x:c>
      <x:c r="H372" s="20" t="str">
        <x:v>RASTREO 260817010714777991I</x:v>
      </x:c>
      <x:c r="I372" s="19" t="str">
        <x:v>DEPOSITO SPEI | RAMIREZ JAUREGUI NICOLAS | AZTECA 127040013310986896 | 1059321 palo ve m13 Lote 16 | CLAVE DE RASTREO 260817010714777991I</x:v>
      </x:c>
      <x:c r="J372" s="21"/>
      <x:c r="K372" s="21" t="n">
        <x:v>2500</x:v>
      </x:c>
      <x:c r="L372" s="21" t="n">
        <x:v>259195.31</x:v>
      </x:c>
      <x:c r="M372" s="22" t="n">
        <x:v>35</x:v>
      </x:c>
    </x:row>
    <x:row r="373" ht="30" customHeight="1">
      <x:c r="A373" s="16" t="n">
        <x:v>46251</x:v>
      </x:c>
      <x:c r="B373" s="17" t="str">
        <x:v>4111554551</x:v>
      </x:c>
      <x:c r="C373" s="18" t="str">
        <x:v>DEPOSITO SPEI</x:v>
      </x:c>
      <x:c r="D373" s="18" t="str">
        <x:v>ADA LUCIA OCHOA GONZALEZ</x:v>
      </x:c>
      <x:c r="E373" s="18" t="str">
        <x:v>NUBANK</x:v>
      </x:c>
      <x:c r="F373" s="17" t="str">
        <x:v>CTA 638180000196070841</x:v>
      </x:c>
      <x:c r="G373" s="19" t="str">
        <x:v>170826 Ada Lucia Ochoa Glez plo verde L22 M18</x:v>
      </x:c>
      <x:c r="H373" s="20" t="str">
        <x:v>RASTREO NU3AGE13DIVV8I1PKSE800GPQ1OS</x:v>
      </x:c>
      <x:c r="I373" s="19" t="str">
        <x:v>DEPOSITO SPEI | ADA LUCIA OCHOA GONZALEZ | NUBANK 638180000196070841 | 170826 Ada Lucia Ochoa Glez plo verde L22 M18 | CLAVE DE RASTREO NU3AGE13DIVV8I1PKSE800GPQ1OS</x:v>
      </x:c>
      <x:c r="J373" s="21"/>
      <x:c r="K373" s="21" t="n">
        <x:v>1500</x:v>
      </x:c>
      <x:c r="L373" s="21" t="n">
        <x:v>260695.31</x:v>
      </x:c>
      <x:c r="M373" s="22" t="n">
        <x:v>36</x:v>
      </x:c>
    </x:row>
    <x:row r="374" ht="30" customHeight="1">
      <x:c r="A374" s="16" t="n">
        <x:v>46251</x:v>
      </x:c>
      <x:c r="B374" s="17" t="str">
        <x:v>4111584247</x:v>
      </x:c>
      <x:c r="C374" s="18" t="str">
        <x:v>DEPOSITO SPEI</x:v>
      </x:c>
      <x:c r="D374" s="18" t="str">
        <x:v>YESICA ESCOBEDO CAMARGO</x:v>
      </x:c>
      <x:c r="E374" s="18" t="str">
        <x:v>SANTANDER</x:v>
      </x:c>
      <x:c r="F374" s="17" t="str">
        <x:v>CTA 014040250193973332</x:v>
      </x:c>
      <x:c r="G374" s="19" t="str">
        <x:v>7793476 TRANSFERENCIA A CARLOS AZAEL ARUAZA ROSA</x:v>
      </x:c>
      <x:c r="H374" s="20" t="str">
        <x:v>RASTREO 2026081740014BMOVP000461199440</x:v>
      </x:c>
      <x:c r="I374" s="19" t="str">
        <x:v>DEPOSITO SPEI | YESICA ESCOBEDO CAMARGO | SANTANDER 014040250193973332 | 7793476 TRANSFERENCIA A CARLOS AZAEL ARUAZA ROSA | CLAVE DE RASTREO 2026081740014BMOVP000461199440</x:v>
      </x:c>
      <x:c r="J374" s="21"/>
      <x:c r="K374" s="21" t="n">
        <x:v>1500</x:v>
      </x:c>
      <x:c r="L374" s="21" t="n">
        <x:v>262195.31</x:v>
      </x:c>
      <x:c r="M374" s="22" t="n">
        <x:v>36</x:v>
      </x:c>
    </x:row>
    <x:row r="375" ht="30" customHeight="1">
      <x:c r="A375" s="16" t="n">
        <x:v>46251</x:v>
      </x:c>
      <x:c r="B375" s="17" t="str">
        <x:v>8202629259</x:v>
      </x:c>
      <x:c r="C375" s="18" t="str">
        <x:v>TRANSFERENCIA SPEI</x:v>
      </x:c>
      <x:c r="D375" s="18" t="str">
        <x:v>Herrero</x:v>
      </x:c>
      <x:c r="E375" s="18" t="str">
        <x:v>BBVA MEXICO</x:v>
      </x:c>
      <x:c r="F375" s="17" t="str">
        <x:v>CTA 4152314459858950</x:v>
      </x:c>
      <x:c r="G375" s="19" t="str">
        <x:v>20260817 Pago | 036NAPP17082026292593892 RFC NO DISPONIBLE</x:v>
      </x:c>
      <x:c r="H375" s="20" t="str"/>
      <x:c r="I375" s="19" t="str">
        <x:v>TRANSFERENCIA SPEI | Herrero | BBVA MEXICO 4152314459858950 | 20260817 Pago | 036NAPP17082026292593892 RFC NO DISPONIBLE</x:v>
      </x:c>
      <x:c r="J375" s="21" t="n">
        <x:v>700</x:v>
      </x:c>
      <x:c r="K375" s="21"/>
      <x:c r="L375" s="21" t="n">
        <x:v>261495.31</x:v>
      </x:c>
      <x:c r="M375" s="22" t="n">
        <x:v>36</x:v>
      </x:c>
    </x:row>
    <x:row r="376" ht="30" customHeight="1">
      <x:c r="A376" s="16" t="n">
        <x:v>46251</x:v>
      </x:c>
      <x:c r="B376" s="17" t="str">
        <x:v>4111669455</x:v>
      </x:c>
      <x:c r="C376" s="18" t="str">
        <x:v>DEPOSITO SPEI</x:v>
      </x:c>
      <x:c r="D376" s="18" t="str">
        <x:v>FORTINO GONZALEZ MONTES</x:v>
      </x:c>
      <x:c r="E376" s="18" t="str">
        <x:v>BBVA MEXICO</x:v>
      </x:c>
      <x:c r="F376" s="17" t="str">
        <x:v>CTA 012026015705372582</x:v>
      </x:c>
      <x:c r="G376" s="19" t="str">
        <x:v>3107260 Proyecto Palo Verde Manzana 7 Lote No8</x:v>
      </x:c>
      <x:c r="H376" s="20" t="str">
        <x:v>RASTREO MBAN01002608170074066682</x:v>
      </x:c>
      <x:c r="I376" s="19" t="str">
        <x:v>DEPOSITO SPEI | FORTINO GONZALEZ MONTES | BBVA MEXICO 012026015705372582 | 3107260 Proyecto Palo Verde Manzana 7 Lote No8 | CLAVE DE RASTREO MBAN01002608170074066682</x:v>
      </x:c>
      <x:c r="J376" s="21"/>
      <x:c r="K376" s="21" t="n">
        <x:v>1500</x:v>
      </x:c>
      <x:c r="L376" s="21" t="n">
        <x:v>262995.31</x:v>
      </x:c>
      <x:c r="M376" s="22" t="n">
        <x:v>36</x:v>
      </x:c>
    </x:row>
    <x:row r="377" ht="30" customHeight="1">
      <x:c r="A377" s="16" t="n">
        <x:v>46251</x:v>
      </x:c>
      <x:c r="B377" s="17" t="str">
        <x:v>4111752561</x:v>
      </x:c>
      <x:c r="C377" s="18" t="str">
        <x:v>DEPOSITO SPEI</x:v>
      </x:c>
      <x:c r="D377" s="18" t="str">
        <x:v>MARIA GUADALUPE RAMIREZ ZAMUDIO</x:v>
      </x:c>
      <x:c r="E377" s="18" t="str">
        <x:v>SANTANDER</x:v>
      </x:c>
      <x:c r="F377" s="17" t="str">
        <x:v>CTA 014040567092084141</x:v>
      </x:c>
      <x:c r="G377" s="19" t="str">
        <x:v>1234567 M16 L18</x:v>
      </x:c>
      <x:c r="H377" s="20" t="str">
        <x:v>RASTREO 2026081740014BMOVP000465588020</x:v>
      </x:c>
      <x:c r="I377" s="19" t="str">
        <x:v>DEPOSITO SPEI | MARIA GUADALUPE RAMIREZ ZAMUDIO | SANTANDER 014040567092084141 | 1234567 M16 L18 | CLAVE DE RASTREO 2026081740014BMOVP000465588020</x:v>
      </x:c>
      <x:c r="J377" s="21"/>
      <x:c r="K377" s="21" t="n">
        <x:v>4500</x:v>
      </x:c>
      <x:c r="L377" s="21" t="n">
        <x:v>267495.31</x:v>
      </x:c>
      <x:c r="M377" s="22" t="n">
        <x:v>36</x:v>
      </x:c>
    </x:row>
    <x:row r="378" ht="30" customHeight="1">
      <x:c r="A378" s="16" t="n">
        <x:v>46251</x:v>
      </x:c>
      <x:c r="B378" s="17" t="str">
        <x:v>4111757788</x:v>
      </x:c>
      <x:c r="C378" s="18" t="str">
        <x:v>DEPOSITO SPEI</x:v>
      </x:c>
      <x:c r="D378" s="18" t="str">
        <x:v>JUAN PABLO BLAKE ALTAMIRA</x:v>
      </x:c>
      <x:c r="E378" s="18" t="str">
        <x:v>BBVA MEXICO</x:v>
      </x:c>
      <x:c r="F378" s="17" t="str">
        <x:v>CTA 012041015412450332</x:v>
      </x:c>
      <x:c r="G378" s="19" t="str">
        <x:v>3107260 recargos por atraso de semana kia</x:v>
      </x:c>
      <x:c r="H378" s="20" t="str">
        <x:v>RASTREO MBAN01002608170074431376</x:v>
      </x:c>
      <x:c r="I378" s="19" t="str">
        <x:v>DEPOSITO SPEI | JUAN PABLO BLAKE ALTAMIRA | BBVA MEXICO 012041015412450332 | 3107260 recargos por atraso de semana kia | CLAVE DE RASTREO MBAN01002608170074431376</x:v>
      </x:c>
      <x:c r="J378" s="21"/>
      <x:c r="K378" s="21" t="n">
        <x:v>700</x:v>
      </x:c>
      <x:c r="L378" s="21" t="n">
        <x:v>268195.31</x:v>
      </x:c>
      <x:c r="M378" s="22" t="n">
        <x:v>36</x:v>
      </x:c>
    </x:row>
    <x:row r="379" ht="30" customHeight="1">
      <x:c r="A379" s="16" t="n">
        <x:v>46251</x:v>
      </x:c>
      <x:c r="B379" s="17" t="str">
        <x:v>4111809417</x:v>
      </x:c>
      <x:c r="C379" s="18" t="str">
        <x:v>DEPOSITO SPEI</x:v>
      </x:c>
      <x:c r="D379" s="18" t="str">
        <x:v>DIANGO TORRES ARELLANO</x:v>
      </x:c>
      <x:c r="E379" s="18" t="str">
        <x:v>BANCOPPEL</x:v>
      </x:c>
      <x:c r="F379" s="17" t="str">
        <x:v>CTA 137040105056421267</x:v>
      </x:c>
      <x:c r="G379" s="19" t="str">
        <x:v>1708260 Diango Torres Mza.21 L.37 mensualidad</x:v>
      </x:c>
      <x:c r="H379" s="20" t="str">
        <x:v>RASTREO 50111267TRANSBPI68212249</x:v>
      </x:c>
      <x:c r="I379" s="19" t="str">
        <x:v>DEPOSITO SPEI | DIANGO TORRES ARELLANO | BANCOPPEL 137040105056421267 | 1708260 Diango Torres Mza.21 L.37 mensualidad | CLAVE DE RASTREO 50111267TRANSBPI68212249</x:v>
      </x:c>
      <x:c r="J379" s="21"/>
      <x:c r="K379" s="21" t="n">
        <x:v>3633</x:v>
      </x:c>
      <x:c r="L379" s="21" t="n">
        <x:v>271828.31</x:v>
      </x:c>
      <x:c r="M379" s="22" t="n">
        <x:v>36</x:v>
      </x:c>
    </x:row>
    <x:row r="380" ht="30" customHeight="1">
      <x:c r="A380" s="16" t="n">
        <x:v>46251</x:v>
      </x:c>
      <x:c r="B380" s="17" t="str">
        <x:v>4111904212</x:v>
      </x:c>
      <x:c r="C380" s="18" t="str">
        <x:v>DEPOSITO SPEI</x:v>
      </x:c>
      <x:c r="D380" s="18" t="str">
        <x:v>JESUS MIGUELANGEL VAZQUEZ ROMERO</x:v>
      </x:c>
      <x:c r="E380" s="18" t="str">
        <x:v>BANCOPPEL</x:v>
      </x:c>
      <x:c r="F380" s="17" t="str">
        <x:v>CTA 137040103567402845</x:v>
      </x:c>
      <x:c r="G380" s="19" t="str">
        <x:v>1708260 Transf. a palo verde</x:v>
      </x:c>
      <x:c r="H380" s="20" t="str">
        <x:v>RASTREO 50112845TRANSBPI69790417</x:v>
      </x:c>
      <x:c r="I380" s="19" t="str">
        <x:v>DEPOSITO SPEI | JESUS MIGUELANGEL VAZQUEZ ROMERO | BANCOPPEL 137040103567402845 | 1708260 Transf. a palo verde | CLAVE DE RASTREO 50112845TRANSBPI69790417</x:v>
      </x:c>
      <x:c r="J380" s="21"/>
      <x:c r="K380" s="21" t="n">
        <x:v>2600</x:v>
      </x:c>
      <x:c r="L380" s="21" t="n">
        <x:v>274428.31</x:v>
      </x:c>
      <x:c r="M380" s="22" t="n">
        <x:v>36</x:v>
      </x:c>
    </x:row>
    <x:row r="381" ht="30" customHeight="1">
      <x:c r="A381" s="16" t="n">
        <x:v>46251</x:v>
      </x:c>
      <x:c r="B381" s="17" t="str">
        <x:v>4111957846</x:v>
      </x:c>
      <x:c r="C381" s="18" t="str">
        <x:v>DEPOSITO SPEI</x:v>
      </x:c>
      <x:c r="D381" s="18" t="str">
        <x:v>REYNA MERCEDES TRASVINA CASTRO</x:v>
      </x:c>
      <x:c r="E381" s="18" t="str">
        <x:v>Mercado Pago W</x:v>
      </x:c>
      <x:c r="F381" s="17" t="str">
        <x:v>CTA 722969020250362793</x:v>
      </x:c>
      <x:c r="G381" s="19" t="str">
        <x:v>9070027 Lote 13 m26</x:v>
      </x:c>
      <x:c r="H381" s="20" t="str">
        <x:v>RASTREO CPO173449070027</x:v>
      </x:c>
      <x:c r="I381" s="19" t="str">
        <x:v>DEPOSITO SPEI | REYNA MERCEDES TRASVINA CASTRO | Mercado Pago W 722969020250362793 | 9070027 Lote 13 m26 | CLAVE DE RASTREO CPO173449070027</x:v>
      </x:c>
      <x:c r="J381" s="21"/>
      <x:c r="K381" s="21" t="n">
        <x:v>1500</x:v>
      </x:c>
      <x:c r="L381" s="21" t="n">
        <x:v>275928.31</x:v>
      </x:c>
      <x:c r="M381" s="22" t="n">
        <x:v>36</x:v>
      </x:c>
    </x:row>
    <x:row r="382" ht="30" customHeight="1">
      <x:c r="A382" s="16" t="n">
        <x:v>46251</x:v>
      </x:c>
      <x:c r="B382" s="17" t="str">
        <x:v>4111969414</x:v>
      </x:c>
      <x:c r="C382" s="18" t="str">
        <x:v>DEPOSITO SPEI</x:v>
      </x:c>
      <x:c r="D382" s="18" t="str">
        <x:v>GUADALUPE CONCEPCION PEREZ DIAZ</x:v>
      </x:c>
      <x:c r="E382" s="18" t="str">
        <x:v>Mercado Pago W</x:v>
      </x:c>
      <x:c r="F382" s="17" t="str">
        <x:v>CTA 722969010244486750</x:v>
      </x:c>
      <x:c r="G382" s="19" t="str">
        <x:v>1886739 MERCADO*PAGO</x:v>
      </x:c>
      <x:c r="H382" s="20" t="str">
        <x:v>RASTREO CPO173450886739</x:v>
      </x:c>
      <x:c r="I382" s="19" t="str">
        <x:v>DEPOSITO SPEI | GUADALUPE CONCEPCION PEREZ DIAZ | Mercado Pago W 722969010244486750 | 1886739 MERCADO*PAGO | CLAVE DE RASTREO CPO173450886739</x:v>
      </x:c>
      <x:c r="J382" s="21"/>
      <x:c r="K382" s="21" t="n">
        <x:v>6000</x:v>
      </x:c>
      <x:c r="L382" s="21" t="n">
        <x:v>281928.31</x:v>
      </x:c>
      <x:c r="M382" s="22" t="n">
        <x:v>36</x:v>
      </x:c>
    </x:row>
    <x:row r="383" ht="30" customHeight="1">
      <x:c r="A383" s="16" t="n">
        <x:v>46251</x:v>
      </x:c>
      <x:c r="B383" s="17" t="str">
        <x:v>4112085009</x:v>
      </x:c>
      <x:c r="C383" s="18" t="str">
        <x:v>DEPOSITO SPEI</x:v>
      </x:c>
      <x:c r="D383" s="18" t="str">
        <x:v>ITZEL KARINA,AGUILAR/CRUZ</x:v>
      </x:c>
      <x:c r="E383" s="18" t="str">
        <x:v>BANAMEX</x:v>
      </x:c>
      <x:c r="F383" s="17" t="str">
        <x:v>CTA 002040702274605610</x:v>
      </x:c>
      <x:c r="G383" s="19" t="str">
        <x:v>170826 Itzel Karina Aguilar Cruz M12 L9 PV</x:v>
      </x:c>
      <x:c r="H383" s="20" t="str">
        <x:v>RASTREO 085902062660322967</x:v>
      </x:c>
      <x:c r="I383" s="19" t="str">
        <x:v>DEPOSITO SPEI | ITZEL KARINA,AGUILAR/CRUZ | BANAMEX 002040702274605610 | 170826 Itzel Karina Aguilar Cruz M12 L9 PV | CLAVE DE RASTREO 085902062660322967</x:v>
      </x:c>
      <x:c r="J383" s="21"/>
      <x:c r="K383" s="21" t="n">
        <x:v>2945</x:v>
      </x:c>
      <x:c r="L383" s="21" t="n">
        <x:v>284873.31</x:v>
      </x:c>
      <x:c r="M383" s="22" t="n">
        <x:v>37</x:v>
      </x:c>
    </x:row>
    <x:row r="384" ht="30" customHeight="1">
      <x:c r="A384" s="16" t="n">
        <x:v>46251</x:v>
      </x:c>
      <x:c r="B384" s="17" t="str">
        <x:v>8202629266</x:v>
      </x:c>
      <x:c r="C384" s="18" t="str">
        <x:v>TRANSFERENCIA SPEI</x:v>
      </x:c>
      <x:c r="D384" s="18" t="str">
        <x:v>Jonatan Ezequiel</x:v>
      </x:c>
      <x:c r="E384" s="18" t="str">
        <x:v>BBVA MEXICO</x:v>
      </x:c>
      <x:c r="F384" s="17" t="str">
        <x:v>CTA 4152314390554866</x:v>
      </x:c>
      <x:c r="G384" s="19" t="str">
        <x:v>20260817 Nico | 036NAPP17082026292664934 RFC NO DISPONIBLE</x:v>
      </x:c>
      <x:c r="H384" s="20" t="str"/>
      <x:c r="I384" s="19" t="str">
        <x:v>TRANSFERENCIA SPEI | Jonatan Ezequiel | BBVA MEXICO 4152314390554866 | 20260817 Nico | 036NAPP17082026292664934 RFC NO DISPONIBLE</x:v>
      </x:c>
      <x:c r="J384" s="21" t="n">
        <x:v>5000</x:v>
      </x:c>
      <x:c r="K384" s="21"/>
      <x:c r="L384" s="21" t="n">
        <x:v>279873.31</x:v>
      </x:c>
      <x:c r="M384" s="22" t="n">
        <x:v>37</x:v>
      </x:c>
    </x:row>
    <x:row r="385" ht="30" customHeight="1">
      <x:c r="A385" s="16" t="n">
        <x:v>46252</x:v>
      </x:c>
      <x:c r="B385" s="17" t="str">
        <x:v>4112202296</x:v>
      </x:c>
      <x:c r="C385" s="18" t="str">
        <x:v>FERR TRAEESA LA PAZ MX</x:v>
      </x:c>
      <x:c r="D385" s="18" t="str"/>
      <x:c r="E385" s="18" t="str"/>
      <x:c r="F385" s="17" t="str"/>
      <x:c r="G385" s="19" t="str"/>
      <x:c r="H385" s="20" t="str"/>
      <x:c r="I385" s="19" t="str">
        <x:v>FERR TRAEESA LA PAZ MX</x:v>
      </x:c>
      <x:c r="J385" s="21" t="n">
        <x:v>1203.97</x:v>
      </x:c>
      <x:c r="K385" s="21"/>
      <x:c r="L385" s="21" t="n">
        <x:v>278669.34</x:v>
      </x:c>
      <x:c r="M385" s="22" t="n">
        <x:v>37</x:v>
      </x:c>
    </x:row>
    <x:row r="386" ht="30" customHeight="1">
      <x:c r="A386" s="16" t="n">
        <x:v>46252</x:v>
      </x:c>
      <x:c r="B386" s="17" t="str">
        <x:v>4112202320</x:v>
      </x:c>
      <x:c r="C386" s="18" t="str">
        <x:v>GAS RAL000224CZ4 LA PA MX</x:v>
      </x:c>
      <x:c r="D386" s="18" t="str"/>
      <x:c r="E386" s="18" t="str"/>
      <x:c r="F386" s="17" t="str"/>
      <x:c r="G386" s="19" t="str"/>
      <x:c r="H386" s="20" t="str"/>
      <x:c r="I386" s="19" t="str">
        <x:v>GAS RAL000224CZ4 LA PA MX</x:v>
      </x:c>
      <x:c r="J386" s="21" t="n">
        <x:v>700</x:v>
      </x:c>
      <x:c r="K386" s="21"/>
      <x:c r="L386" s="21" t="n">
        <x:v>277969.34</x:v>
      </x:c>
      <x:c r="M386" s="22" t="n">
        <x:v>37</x:v>
      </x:c>
    </x:row>
    <x:row r="387" ht="30" customHeight="1">
      <x:c r="A387" s="16" t="n">
        <x:v>46252</x:v>
      </x:c>
      <x:c r="B387" s="17" t="str">
        <x:v>4112500308</x:v>
      </x:c>
      <x:c r="C387" s="18" t="str">
        <x:v>DEPOSITO SPEI</x:v>
      </x:c>
      <x:c r="D387" s="18" t="str">
        <x:v>ROBERTO VALDES LOPEZ</x:v>
      </x:c>
      <x:c r="E387" s="18" t="str">
        <x:v>BBVA MEXICO</x:v>
      </x:c>
      <x:c r="F387" s="17" t="str">
        <x:v>CTA 012180015603875331</x:v>
      </x:c>
      <x:c r="G387" s="19" t="str">
        <x:v>3107260 roberto valdes lopez L11 M18 PV</x:v>
      </x:c>
      <x:c r="H387" s="20" t="str">
        <x:v>RASTREO MBAN01002608180077226966</x:v>
      </x:c>
      <x:c r="I387" s="19" t="str">
        <x:v>DEPOSITO SPEI | ROBERTO VALDES LOPEZ | BBVA MEXICO 012180015603875331 | 3107260 roberto valdes lopez L11 M18 PV | CLAVE DE RASTREO MBAN01002608180077226966</x:v>
      </x:c>
      <x:c r="J387" s="21"/>
      <x:c r="K387" s="21" t="n">
        <x:v>2389</x:v>
      </x:c>
      <x:c r="L387" s="21" t="n">
        <x:v>280358.34</x:v>
      </x:c>
      <x:c r="M387" s="22" t="n">
        <x:v>37</x:v>
      </x:c>
    </x:row>
    <x:row r="388" ht="30" customHeight="1">
      <x:c r="A388" s="16" t="n">
        <x:v>46252</x:v>
      </x:c>
      <x:c r="B388" s="17" t="str">
        <x:v>4112501216</x:v>
      </x:c>
      <x:c r="C388" s="18" t="str">
        <x:v>DEPOSITO SPEI</x:v>
      </x:c>
      <x:c r="D388" s="18" t="str">
        <x:v>ROBERTO VALDES LOPEZ</x:v>
      </x:c>
      <x:c r="E388" s="18" t="str">
        <x:v>BBVA MEXICO</x:v>
      </x:c>
      <x:c r="F388" s="17" t="str">
        <x:v>CTA 012180015603875331</x:v>
      </x:c>
      <x:c r="G388" s="19" t="str">
        <x:v>3107260 roberto valdes lopez L10 M18 PV</x:v>
      </x:c>
      <x:c r="H388" s="20" t="str">
        <x:v>RASTREO MBAN01002608180077230587</x:v>
      </x:c>
      <x:c r="I388" s="19" t="str">
        <x:v>DEPOSITO SPEI | ROBERTO VALDES LOPEZ | BBVA MEXICO 012180015603875331 | 3107260 roberto valdes lopez L10 M18 PV | CLAVE DE RASTREO MBAN01002608180077230587</x:v>
      </x:c>
      <x:c r="J388" s="21"/>
      <x:c r="K388" s="21" t="n">
        <x:v>1500</x:v>
      </x:c>
      <x:c r="L388" s="21" t="n">
        <x:v>281858.34</x:v>
      </x:c>
      <x:c r="M388" s="22" t="n">
        <x:v>37</x:v>
      </x:c>
    </x:row>
    <x:row r="389" ht="30" customHeight="1">
      <x:c r="A389" s="16" t="n">
        <x:v>46252</x:v>
      </x:c>
      <x:c r="B389" s="17" t="str">
        <x:v>4112561026</x:v>
      </x:c>
      <x:c r="C389" s="18" t="str">
        <x:v>DEPOSITO SPEI</x:v>
      </x:c>
      <x:c r="D389" s="18" t="str">
        <x:v>ROSA ELENA MURILLO</x:v>
      </x:c>
      <x:c r="E389" s="18" t="str">
        <x:v>BBVA MEXICO</x:v>
      </x:c>
      <x:c r="F389" s="17" t="str">
        <x:v>CTA 012040015769617434</x:v>
      </x:c>
      <x:c r="G389" s="19" t="str">
        <x:v>3107260 pago mens t-19 y 20</x:v>
      </x:c>
      <x:c r="H389" s="20" t="str">
        <x:v>RASTREO MBAN01002608180077455188</x:v>
      </x:c>
      <x:c r="I389" s="19" t="str">
        <x:v>DEPOSITO SPEI | ROSA ELENA MURILLO | BBVA MEXICO 012040015769617434 | 3107260 pago mens t-19 y 20 | CLAVE DE RASTREO MBAN01002608180077455188</x:v>
      </x:c>
      <x:c r="J389" s="21"/>
      <x:c r="K389" s="21" t="n">
        <x:v>3000</x:v>
      </x:c>
      <x:c r="L389" s="21" t="n">
        <x:v>284858.34</x:v>
      </x:c>
      <x:c r="M389" s="22" t="n">
        <x:v>37</x:v>
      </x:c>
    </x:row>
    <x:row r="390" ht="30" customHeight="1">
      <x:c r="A390" s="16" t="n">
        <x:v>46252</x:v>
      </x:c>
      <x:c r="B390" s="17" t="str">
        <x:v>4112563385</x:v>
      </x:c>
      <x:c r="C390" s="18" t="str">
        <x:v>DEPOSITO SPEI</x:v>
      </x:c>
      <x:c r="D390" s="18" t="str">
        <x:v>EDITH VIRIDIANA MENDOZA BANDERAS</x:v>
      </x:c>
      <x:c r="E390" s="18" t="str">
        <x:v>BANORTE</x:v>
      </x:c>
      <x:c r="F390" s="17" t="str">
        <x:v>CTA 072045012325038806</x:v>
      </x:c>
      <x:c r="G390" s="19" t="str">
        <x:v>260818 EDITH MENDOZA M24L20 PALO VERDE</x:v>
      </x:c>
      <x:c r="H390" s="20" t="str">
        <x:v>RASTREO 38432P01202608185667051431</x:v>
      </x:c>
      <x:c r="I390" s="19" t="str">
        <x:v>DEPOSITO SPEI | EDITH VIRIDIANA MENDOZA BANDERAS | BANORTE 072045012325038806 | 260818 EDITH MENDOZA M24L20 PALO VERDE | CLAVE DE RASTREO 38432P01202608185667051431</x:v>
      </x:c>
      <x:c r="J390" s="21"/>
      <x:c r="K390" s="21" t="n">
        <x:v>2300</x:v>
      </x:c>
      <x:c r="L390" s="21" t="n">
        <x:v>287158.34</x:v>
      </x:c>
      <x:c r="M390" s="22" t="n">
        <x:v>37</x:v>
      </x:c>
    </x:row>
    <x:row r="391" ht="30" customHeight="1">
      <x:c r="A391" s="16" t="n">
        <x:v>46252</x:v>
      </x:c>
      <x:c r="B391" s="17" t="str">
        <x:v>4112568534</x:v>
      </x:c>
      <x:c r="C391" s="18" t="str">
        <x:v>DEPOSITO SPEI</x:v>
      </x:c>
      <x:c r="D391" s="18" t="str">
        <x:v>MARIA GUADALUPE ESPINOZA AMADOR</x:v>
      </x:c>
      <x:c r="E391" s="18" t="str">
        <x:v>BBVA MEXICO</x:v>
      </x:c>
      <x:c r="F391" s="17" t="str">
        <x:v>CTA 012180015331849503</x:v>
      </x:c>
      <x:c r="G391" s="19" t="str">
        <x:v>3107260 MANZANA 5 LOTE 6</x:v>
      </x:c>
      <x:c r="H391" s="20" t="str">
        <x:v>RASTREO MBAN01002608180077477308</x:v>
      </x:c>
      <x:c r="I391" s="19" t="str">
        <x:v>DEPOSITO SPEI | MARIA GUADALUPE ESPINOZA AMADOR | BBVA MEXICO 012180015331849503 | 3107260 MANZANA 5 LOTE 6 | CLAVE DE RASTREO MBAN01002608180077477308</x:v>
      </x:c>
      <x:c r="J391" s="21"/>
      <x:c r="K391" s="21" t="n">
        <x:v>1500</x:v>
      </x:c>
      <x:c r="L391" s="21" t="n">
        <x:v>288658.34</x:v>
      </x:c>
      <x:c r="M391" s="22" t="n">
        <x:v>37</x:v>
      </x:c>
    </x:row>
    <x:row r="392" ht="30" customHeight="1">
      <x:c r="A392" s="16" t="n">
        <x:v>46252</x:v>
      </x:c>
      <x:c r="B392" s="17" t="str">
        <x:v>4112884432</x:v>
      </x:c>
      <x:c r="C392" s="18" t="str">
        <x:v>DEPOSITO SPEI</x:v>
      </x:c>
      <x:c r="D392" s="18" t="str">
        <x:v>AKIRA YUZHET MIRANDA GASTELUM</x:v>
      </x:c>
      <x:c r="E392" s="18" t="str">
        <x:v>BANCOPPEL</x:v>
      </x:c>
      <x:c r="F392" s="17" t="str">
        <x:v>CTA 137061104627479136</x:v>
      </x:c>
      <x:c r="G392" s="19" t="str">
        <x:v>1808260 Palo verde mzna 24 lote 35</x:v>
      </x:c>
      <x:c r="H392" s="20" t="str">
        <x:v>RASTREO 50119136TRANSBPI79137201</x:v>
      </x:c>
      <x:c r="I392" s="19" t="str">
        <x:v>DEPOSITO SPEI | AKIRA YUZHET MIRANDA GASTELUM | BANCOPPEL 137061104627479136 | 1808260 Palo verde mzna 24 lote 35 | CLAVE DE RASTREO 50119136TRANSBPI79137201</x:v>
      </x:c>
      <x:c r="J392" s="21"/>
      <x:c r="K392" s="21" t="n">
        <x:v>2388</x:v>
      </x:c>
      <x:c r="L392" s="21" t="n">
        <x:v>291046.34</x:v>
      </x:c>
      <x:c r="M392" s="22" t="n">
        <x:v>37</x:v>
      </x:c>
    </x:row>
    <x:row r="393" ht="30" customHeight="1">
      <x:c r="A393" s="16" t="n">
        <x:v>46252</x:v>
      </x:c>
      <x:c r="B393" s="17" t="str">
        <x:v>4112923678</x:v>
      </x:c>
      <x:c r="C393" s="18" t="str">
        <x:v>TRASPASO ENTRE CUENTAS</x:v>
      </x:c>
      <x:c r="D393" s="18" t="str"/>
      <x:c r="E393" s="18" t="str"/>
      <x:c r="F393" s="17" t="str"/>
      <x:c r="G393" s="19" t="str">
        <x:v>TRASPASO DE (NWM) - 7384 - DE CECILIA HIGUERA</x:v>
      </x:c>
      <x:c r="H393" s="20" t="str"/>
      <x:c r="I393" s="19" t="str">
        <x:v>TRASPASO ENTRE CUENTAS | TRASPASO DE (NWM) - 7384 - DE CECILIA HIGUERA</x:v>
      </x:c>
      <x:c r="J393" s="21"/>
      <x:c r="K393" s="21" t="n">
        <x:v>1500</x:v>
      </x:c>
      <x:c r="L393" s="21" t="n">
        <x:v>292546.34</x:v>
      </x:c>
      <x:c r="M393" s="22" t="n">
        <x:v>37</x:v>
      </x:c>
    </x:row>
    <x:row r="394" ht="30" customHeight="1">
      <x:c r="A394" s="16" t="n">
        <x:v>46252</x:v>
      </x:c>
      <x:c r="B394" s="17" t="str">
        <x:v>4113098950</x:v>
      </x:c>
      <x:c r="C394" s="18" t="str">
        <x:v>DEPOSITO SPEI</x:v>
      </x:c>
      <x:c r="D394" s="18" t="str">
        <x:v>MARITZA MAYERLING RAMIREZ RODARTE</x:v>
      </x:c>
      <x:c r="E394" s="18" t="str">
        <x:v>AZTECA</x:v>
      </x:c>
      <x:c r="F394" s="17" t="str">
        <x:v>CTA 127040013045060184</x:v>
      </x:c>
      <x:c r="G394" s="19" t="str">
        <x:v>1059321 M9L22 Maritza Mayerling Ramirez Rodarte</x:v>
      </x:c>
      <x:c r="H394" s="20" t="str">
        <x:v>RASTREO 2608180108531038095H</x:v>
      </x:c>
      <x:c r="I394" s="19" t="str">
        <x:v>DEPOSITO SPEI | MARITZA MAYERLING RAMIREZ RODARTE | AZTECA 127040013045060184 | 1059321 M9L22 Maritza Mayerling Ramirez Rodarte | CLAVE DE RASTREO 2608180108531038095H</x:v>
      </x:c>
      <x:c r="J394" s="21"/>
      <x:c r="K394" s="21" t="n">
        <x:v>2944</x:v>
      </x:c>
      <x:c r="L394" s="21" t="n">
        <x:v>295490.34</x:v>
      </x:c>
      <x:c r="M394" s="22" t="n">
        <x:v>37</x:v>
      </x:c>
    </x:row>
    <x:row r="395" ht="30" customHeight="1">
      <x:c r="A395" s="16" t="n">
        <x:v>46252</x:v>
      </x:c>
      <x:c r="B395" s="17" t="str">
        <x:v>4113118115</x:v>
      </x:c>
      <x:c r="C395" s="18" t="str">
        <x:v>DEPOSITO SPEI</x:v>
      </x:c>
      <x:c r="D395" s="18" t="str">
        <x:v>KARINA LIZBETH ALVAREZ CAMACHO</x:v>
      </x:c>
      <x:c r="E395" s="18" t="str">
        <x:v>BBVA MEXICO</x:v>
      </x:c>
      <x:c r="F395" s="17" t="str">
        <x:v>CTA 012044029057508140</x:v>
      </x:c>
      <x:c r="G395" s="19" t="str">
        <x:v>3107260 karinaalvarezm22l29</x:v>
      </x:c>
      <x:c r="H395" s="20" t="str">
        <x:v>RASTREO MBAN01002608180079348617</x:v>
      </x:c>
      <x:c r="I395" s="19" t="str">
        <x:v>DEPOSITO SPEI | KARINA LIZBETH ALVAREZ CAMACHO | BBVA MEXICO 012044029057508140 | 3107260 karinaalvarezm22l29 | CLAVE DE RASTREO MBAN01002608180079348617</x:v>
      </x:c>
      <x:c r="J395" s="21"/>
      <x:c r="K395" s="21" t="n">
        <x:v>2389</x:v>
      </x:c>
      <x:c r="L395" s="21" t="n">
        <x:v>297879.34</x:v>
      </x:c>
      <x:c r="M395" s="22" t="n">
        <x:v>38</x:v>
      </x:c>
    </x:row>
    <x:row r="396" ht="30" customHeight="1">
      <x:c r="A396" s="16" t="n">
        <x:v>46252</x:v>
      </x:c>
      <x:c r="B396" s="17" t="str">
        <x:v>4113163537</x:v>
      </x:c>
      <x:c r="C396" s="18" t="str">
        <x:v>DEPOSITO SPEI</x:v>
      </x:c>
      <x:c r="D396" s="18" t="str">
        <x:v>MICHELLE GULUARTE CAMACHO</x:v>
      </x:c>
      <x:c r="E396" s="18" t="str">
        <x:v>BANORTE</x:v>
      </x:c>
      <x:c r="F396" s="17" t="str">
        <x:v>CTA 072045012737572934</x:v>
      </x:c>
      <x:c r="G396" s="19" t="str">
        <x:v>260818 PaloVerde M27 L2 Mes17 abono anualidad</x:v>
      </x:c>
      <x:c r="H396" s="20" t="str">
        <x:v>RASTREO 3843CP03202608185668512796</x:v>
      </x:c>
      <x:c r="I396" s="19" t="str">
        <x:v>DEPOSITO SPEI | MICHELLE GULUARTE CAMACHO | BANORTE 072045012737572934 | 260818 PaloVerde M27 L2 Mes17 abono anualidad | CLAVE DE RASTREO 3843CP03202608185668512796</x:v>
      </x:c>
      <x:c r="J396" s="21"/>
      <x:c r="K396" s="21" t="n">
        <x:v>2500</x:v>
      </x:c>
      <x:c r="L396" s="21" t="n">
        <x:v>300379.34</x:v>
      </x:c>
      <x:c r="M396" s="22" t="n">
        <x:v>38</x:v>
      </x:c>
    </x:row>
    <x:row r="397" ht="30" customHeight="1">
      <x:c r="A397" s="16" t="n">
        <x:v>46252</x:v>
      </x:c>
      <x:c r="B397" s="17" t="str">
        <x:v>4113174872</x:v>
      </x:c>
      <x:c r="C397" s="18" t="str">
        <x:v>TRASPASO ENTRE CUENTAS</x:v>
      </x:c>
      <x:c r="D397" s="18" t="str"/>
      <x:c r="E397" s="18" t="str"/>
      <x:c r="F397" s="17" t="str"/>
      <x:c r="G397" s="19" t="str">
        <x:v>TRASPASO DE (NOM) - 4208 - DE CELSO ALBERTO</x:v>
      </x:c>
      <x:c r="H397" s="20" t="str"/>
      <x:c r="I397" s="19" t="str">
        <x:v>TRASPASO ENTRE CUENTAS | TRASPASO DE (NOM) - 4208 - DE CELSO ALBERTO</x:v>
      </x:c>
      <x:c r="J397" s="21"/>
      <x:c r="K397" s="21" t="n">
        <x:v>1500</x:v>
      </x:c>
      <x:c r="L397" s="21" t="n">
        <x:v>301879.34</x:v>
      </x:c>
      <x:c r="M397" s="22" t="n">
        <x:v>38</x:v>
      </x:c>
    </x:row>
    <x:row r="398" ht="30" customHeight="1">
      <x:c r="A398" s="16" t="n">
        <x:v>46252</x:v>
      </x:c>
      <x:c r="B398" s="17" t="str">
        <x:v>4113180527</x:v>
      </x:c>
      <x:c r="C398" s="18" t="str">
        <x:v>TRASPASO ENTRE CUENTAS</x:v>
      </x:c>
      <x:c r="D398" s="18" t="str"/>
      <x:c r="E398" s="18" t="str"/>
      <x:c r="F398" s="17" t="str"/>
      <x:c r="G398" s="19" t="str">
        <x:v>TRASPASO DE (NOM) - 1509 - DE BRITNEY GUADALUPE</x:v>
      </x:c>
      <x:c r="H398" s="20" t="str"/>
      <x:c r="I398" s="19" t="str">
        <x:v>TRASPASO ENTRE CUENTAS | TRASPASO DE (NOM) - 1509 - DE BRITNEY GUADALUPE</x:v>
      </x:c>
      <x:c r="J398" s="21"/>
      <x:c r="K398" s="21" t="n">
        <x:v>1500</x:v>
      </x:c>
      <x:c r="L398" s="21" t="n">
        <x:v>303379.34</x:v>
      </x:c>
      <x:c r="M398" s="22" t="n">
        <x:v>38</x:v>
      </x:c>
    </x:row>
    <x:row r="399" ht="30" customHeight="1">
      <x:c r="A399" s="16" t="n">
        <x:v>46252</x:v>
      </x:c>
      <x:c r="B399" s="17" t="str">
        <x:v>4113207671</x:v>
      </x:c>
      <x:c r="C399" s="18" t="str">
        <x:v>DEPOSITO SPEI</x:v>
      </x:c>
      <x:c r="D399" s="18" t="str">
        <x:v>MAURO MAYO MARTINEZ</x:v>
      </x:c>
      <x:c r="E399" s="18" t="str">
        <x:v>SANTANDER</x:v>
      </x:c>
      <x:c r="F399" s="17" t="str">
        <x:v>CTA 014040569024593611</x:v>
      </x:c>
      <x:c r="G399" s="19" t="str">
        <x:v>3294516 MANZANA 5 LOTE 23 MAURO MAYO MARTINEZ</x:v>
      </x:c>
      <x:c r="H399" s="20" t="str">
        <x:v>RASTREO 2026081840014BMOVP000422728920</x:v>
      </x:c>
      <x:c r="I399" s="19" t="str">
        <x:v>DEPOSITO SPEI | MAURO MAYO MARTINEZ | SANTANDER 014040569024593611 | 3294516 MANZANA 5 LOTE 23 MAURO MAYO MARTINEZ | CLAVE DE RASTREO 2026081840014BMOVP000422728920</x:v>
      </x:c>
      <x:c r="J399" s="21"/>
      <x:c r="K399" s="21" t="n">
        <x:v>1500</x:v>
      </x:c>
      <x:c r="L399" s="21" t="n">
        <x:v>304879.34</x:v>
      </x:c>
      <x:c r="M399" s="22" t="n">
        <x:v>38</x:v>
      </x:c>
    </x:row>
    <x:row r="400" ht="30" customHeight="1">
      <x:c r="A400" s="16" t="n">
        <x:v>46252</x:v>
      </x:c>
      <x:c r="B400" s="17" t="str">
        <x:v>4113239116</x:v>
      </x:c>
      <x:c r="C400" s="18" t="str">
        <x:v>DEPOSITO SPEI</x:v>
      </x:c>
      <x:c r="D400" s="18" t="str">
        <x:v>ALFONSO DANIEL OJEDA MARTINEZ</x:v>
      </x:c>
      <x:c r="E400" s="18" t="str">
        <x:v>BBVA MEXICO</x:v>
      </x:c>
      <x:c r="F400" s="17" t="str">
        <x:v>CTA 012045027638555115</x:v>
      </x:c>
      <x:c r="G400" s="19" t="str">
        <x:v>3107260 PVD MZA 04 LTE 13</x:v>
      </x:c>
      <x:c r="H400" s="20" t="str">
        <x:v>RASTREO MBAN01002608180079838941</x:v>
      </x:c>
      <x:c r="I400" s="19" t="str">
        <x:v>DEPOSITO SPEI | ALFONSO DANIEL OJEDA MARTINEZ | BBVA MEXICO 012045027638555115 | 3107260 PVD MZA 04 LTE 13 | CLAVE DE RASTREO MBAN01002608180079838941</x:v>
      </x:c>
      <x:c r="J400" s="21"/>
      <x:c r="K400" s="21" t="n">
        <x:v>2805</x:v>
      </x:c>
      <x:c r="L400" s="21" t="n">
        <x:v>307684.34</x:v>
      </x:c>
      <x:c r="M400" s="22" t="n">
        <x:v>38</x:v>
      </x:c>
    </x:row>
    <x:row r="401" ht="30" customHeight="1">
      <x:c r="A401" s="16" t="n">
        <x:v>46252</x:v>
      </x:c>
      <x:c r="B401" s="17" t="str">
        <x:v>4113243607</x:v>
      </x:c>
      <x:c r="C401" s="18" t="str">
        <x:v>DEPOSITO SPEI</x:v>
      </x:c>
      <x:c r="D401" s="18" t="str">
        <x:v>IVAN EDAIN SOLIS ORTEGA</x:v>
      </x:c>
      <x:c r="E401" s="18" t="str">
        <x:v>BANORTE</x:v>
      </x:c>
      <x:c r="F401" s="17" t="str">
        <x:v>CTA 072040012750596565</x:v>
      </x:c>
      <x:c r="G401" s="19" t="str">
        <x:v>260818 Mza24L15 Ivan Edain Solis Ortega</x:v>
      </x:c>
      <x:c r="H401" s="20" t="str">
        <x:v>RASTREO 3843CP03202608185668729679</x:v>
      </x:c>
      <x:c r="I401" s="19" t="str">
        <x:v>DEPOSITO SPEI | IVAN EDAIN SOLIS ORTEGA | BANORTE 072040012750596565 | 260818 Mza24L15 Ivan Edain Solis Ortega | CLAVE DE RASTREO 3843CP03202608185668729679</x:v>
      </x:c>
      <x:c r="J401" s="21"/>
      <x:c r="K401" s="21" t="n">
        <x:v>6000</x:v>
      </x:c>
      <x:c r="L401" s="21" t="n">
        <x:v>313684.34</x:v>
      </x:c>
      <x:c r="M401" s="22" t="n">
        <x:v>38</x:v>
      </x:c>
    </x:row>
    <x:row r="402" ht="30" customHeight="1">
      <x:c r="A402" s="16" t="n">
        <x:v>46252</x:v>
      </x:c>
      <x:c r="B402" s="17" t="str">
        <x:v>4113266882</x:v>
      </x:c>
      <x:c r="C402" s="18" t="str">
        <x:v>DEPOSITO SPEI</x:v>
      </x:c>
      <x:c r="D402" s="18" t="str">
        <x:v>MARIA GUADALUPE LEAL HERNANDEZ</x:v>
      </x:c>
      <x:c r="E402" s="18" t="str">
        <x:v>Mercado Pago W</x:v>
      </x:c>
      <x:c r="F402" s="17" t="str">
        <x:v>CTA 722969020508400462</x:v>
      </x:c>
      <x:c r="G402" s="19" t="str">
        <x:v>5392236 Martin Iridian Salamanca Flores L5 M4</x:v>
      </x:c>
      <x:c r="H402" s="20" t="str">
        <x:v>RASTREO CPO174515392236</x:v>
      </x:c>
      <x:c r="I402" s="19" t="str">
        <x:v>DEPOSITO SPEI | MARIA GUADALUPE LEAL HERNANDEZ | Mercado Pago W 722969020508400462 | 5392236 Martin Iridian Salamanca Flores L5 M4 | CLAVE DE RASTREO CPO174515392236</x:v>
      </x:c>
      <x:c r="J402" s="21"/>
      <x:c r="K402" s="21" t="n">
        <x:v>7166</x:v>
      </x:c>
      <x:c r="L402" s="21" t="n">
        <x:v>320850.34</x:v>
      </x:c>
      <x:c r="M402" s="22" t="n">
        <x:v>38</x:v>
      </x:c>
    </x:row>
    <x:row r="403" ht="30" customHeight="1">
      <x:c r="A403" s="16" t="n">
        <x:v>46252</x:v>
      </x:c>
      <x:c r="B403" s="17" t="str">
        <x:v>4113278669</x:v>
      </x:c>
      <x:c r="C403" s="18" t="str">
        <x:v>DEPOSITO SPEI</x:v>
      </x:c>
      <x:c r="D403" s="18" t="str">
        <x:v>BELEN RODRIGUEZ COSME</x:v>
      </x:c>
      <x:c r="E403" s="18" t="str">
        <x:v>BBVA MEXICO</x:v>
      </x:c>
      <x:c r="F403" s="17" t="str">
        <x:v>CTA 012041015559786176</x:v>
      </x:c>
      <x:c r="G403" s="19" t="str">
        <x:v>3107260 PVD M5L27</x:v>
      </x:c>
      <x:c r="H403" s="20" t="str">
        <x:v>RASTREO MBAN01002608180080009144</x:v>
      </x:c>
      <x:c r="I403" s="19" t="str">
        <x:v>DEPOSITO SPEI | BELEN RODRIGUEZ COSME | BBVA MEXICO 012041015559786176 | 3107260 PVD M5L27 | CLAVE DE RASTREO MBAN01002608180080009144</x:v>
      </x:c>
      <x:c r="J403" s="21"/>
      <x:c r="K403" s="21" t="n">
        <x:v>2388</x:v>
      </x:c>
      <x:c r="L403" s="21" t="n">
        <x:v>323238.34</x:v>
      </x:c>
      <x:c r="M403" s="22" t="n">
        <x:v>38</x:v>
      </x:c>
    </x:row>
    <x:row r="404" ht="30" customHeight="1">
      <x:c r="A404" s="16" t="n">
        <x:v>46252</x:v>
      </x:c>
      <x:c r="B404" s="17" t="str">
        <x:v>4113428713</x:v>
      </x:c>
      <x:c r="C404" s="18" t="str">
        <x:v>DEPOSITO SPEI</x:v>
      </x:c>
      <x:c r="D404" s="18" t="str">
        <x:v>BERNARDINO ESPINOZA AMADOR</x:v>
      </x:c>
      <x:c r="E404" s="18" t="str">
        <x:v>BBVA MEXICO</x:v>
      </x:c>
      <x:c r="F404" s="17" t="str">
        <x:v>CTA 012180015957623608</x:v>
      </x:c>
      <x:c r="G404" s="19" t="str">
        <x:v>3107260 Mensualidad Lote 5 Manzana 5</x:v>
      </x:c>
      <x:c r="H404" s="20" t="str">
        <x:v>RASTREO MBAN01002608190080790577</x:v>
      </x:c>
      <x:c r="I404" s="19" t="str">
        <x:v>DEPOSITO SPEI | BERNARDINO ESPINOZA AMADOR | BBVA MEXICO 012180015957623608 | 3107260 Mensualidad Lote 5 Manzana 5 | CLAVE DE RASTREO MBAN01002608190080790577</x:v>
      </x:c>
      <x:c r="J404" s="21"/>
      <x:c r="K404" s="21" t="n">
        <x:v>1500</x:v>
      </x:c>
      <x:c r="L404" s="21" t="n">
        <x:v>324738.34</x:v>
      </x:c>
      <x:c r="M404" s="22" t="n">
        <x:v>38</x:v>
      </x:c>
    </x:row>
    <x:row r="405" ht="30" customHeight="1">
      <x:c r="A405" s="16" t="n">
        <x:v>46252</x:v>
      </x:c>
      <x:c r="B405" s="17" t="str">
        <x:v>4113483624</x:v>
      </x:c>
      <x:c r="C405" s="18" t="str">
        <x:v>DEPOSITO SPEI</x:v>
      </x:c>
      <x:c r="D405" s="18" t="str">
        <x:v>KAREN YUSHARA MONTES DE OCA MACIAS</x:v>
      </x:c>
      <x:c r="E405" s="18" t="str">
        <x:v>BBVA MEXICO</x:v>
      </x:c>
      <x:c r="F405" s="17" t="str">
        <x:v>CTA 012045015115927537</x:v>
      </x:c>
      <x:c r="G405" s="19" t="str">
        <x:v>3107260 Karen Montes de oca Macias mza15 L2</x:v>
      </x:c>
      <x:c r="H405" s="20" t="str">
        <x:v>RASTREO MBAN01002608190081095862</x:v>
      </x:c>
      <x:c r="I405" s="19" t="str">
        <x:v>DEPOSITO SPEI | KAREN YUSHARA MONTES DE OCA MACIAS | BBVA MEXICO 012045015115927537 | 3107260 Karen Montes de oca Macias mza15 L2 | CLAVE DE RASTREO MBAN01002608190081095862</x:v>
      </x:c>
      <x:c r="J405" s="21"/>
      <x:c r="K405" s="21" t="n">
        <x:v>1500</x:v>
      </x:c>
      <x:c r="L405" s="21" t="n">
        <x:v>326238.34</x:v>
      </x:c>
      <x:c r="M405" s="22" t="n">
        <x:v>39</x:v>
      </x:c>
    </x:row>
    <x:row r="406" ht="30" customHeight="1">
      <x:c r="A406" s="16" t="n">
        <x:v>46252</x:v>
      </x:c>
      <x:c r="B406" s="17" t="str">
        <x:v>4113644775</x:v>
      </x:c>
      <x:c r="C406" s="18" t="str">
        <x:v>DEPOSITO SPEI</x:v>
      </x:c>
      <x:c r="D406" s="18" t="str">
        <x:v>Felicitas Monserrat Gonzalez Cabanillas</x:v>
      </x:c>
      <x:c r="E406" s="18" t="str">
        <x:v>SPIN BY OXXO</x:v>
      </x:c>
      <x:c r="F406" s="17" t="str">
        <x:v>CTA 728969000182083708</x:v>
      </x:c>
      <x:c r="G406" s="19" t="str">
        <x:v>9906936 SPIN DE Felicitas Monserrat Gonzalez Cab</x:v>
      </x:c>
      <x:c r="H406" s="20" t="str">
        <x:v>RASTREO SPIN-20260819052630GSXD2RFP</x:v>
      </x:c>
      <x:c r="I406" s="19" t="str">
        <x:v>DEPOSITO SPEI | Felicitas Monserrat Gonzalez Cabanillas | SPIN BY OXXO 728969000182083708 | 9906936 SPIN DE Felicitas Monserrat Gonzalez Cab | CLAVE DE RASTREO SPIN-20260819052630GSXD2RFP</x:v>
      </x:c>
      <x:c r="J406" s="21"/>
      <x:c r="K406" s="21" t="n">
        <x:v>2389</x:v>
      </x:c>
      <x:c r="L406" s="21" t="n">
        <x:v>328627.34</x:v>
      </x:c>
      <x:c r="M406" s="22" t="n">
        <x:v>39</x:v>
      </x:c>
    </x:row>
    <x:row r="407" ht="30" customHeight="1">
      <x:c r="A407" s="16" t="n">
        <x:v>46253</x:v>
      </x:c>
      <x:c r="B407" s="17" t="str">
        <x:v>4114095088</x:v>
      </x:c>
      <x:c r="C407" s="18" t="str">
        <x:v>DEPOSITO SPEI</x:v>
      </x:c>
      <x:c r="D407" s="18" t="str">
        <x:v>JUAN DANIEL VERDUGO MENDOZA</x:v>
      </x:c>
      <x:c r="E407" s="18" t="str">
        <x:v>BBVA MEXICO</x:v>
      </x:c>
      <x:c r="F407" s="17" t="str">
        <x:v>CTA 012040015050932080</x:v>
      </x:c>
      <x:c r="G407" s="19" t="str">
        <x:v>3107260 manzana 22 lote 10</x:v>
      </x:c>
      <x:c r="H407" s="20" t="str">
        <x:v>RASTREO MBAN01002608190082883749</x:v>
      </x:c>
      <x:c r="I407" s="19" t="str">
        <x:v>DEPOSITO SPEI | JUAN DANIEL VERDUGO MENDOZA | BBVA MEXICO 012040015050932080 | 3107260 manzana 22 lote 10 | CLAVE DE RASTREO MBAN01002608190082883749</x:v>
      </x:c>
      <x:c r="J407" s="21"/>
      <x:c r="K407" s="21" t="n">
        <x:v>1800</x:v>
      </x:c>
      <x:c r="L407" s="21" t="n">
        <x:v>330427.34</x:v>
      </x:c>
      <x:c r="M407" s="22" t="n">
        <x:v>39</x:v>
      </x:c>
    </x:row>
    <x:row r="408" ht="30" customHeight="1">
      <x:c r="A408" s="16" t="n">
        <x:v>46253</x:v>
      </x:c>
      <x:c r="B408" s="17" t="str">
        <x:v>4114105784</x:v>
      </x:c>
      <x:c r="C408" s="18" t="str">
        <x:v>DEPOSITO SPEI</x:v>
      </x:c>
      <x:c r="D408" s="18" t="str">
        <x:v>MANUEL ANTONIO LUCERO AMADOR</x:v>
      </x:c>
      <x:c r="E408" s="18" t="str">
        <x:v>NUBANK</x:v>
      </x:c>
      <x:c r="F408" s="17" t="str">
        <x:v>CTA 638180000176737298</x:v>
      </x:c>
      <x:c r="G408" s="19" t="str">
        <x:v>190826 Manzana 9 lote 11 palo verde</x:v>
      </x:c>
      <x:c r="H408" s="20" t="str">
        <x:v>RASTREO NU3AGN7SU6199SVPEIHT7P8T35HU</x:v>
      </x:c>
      <x:c r="I408" s="19" t="str">
        <x:v>DEPOSITO SPEI | MANUEL ANTONIO LUCERO AMADOR | NUBANK 638180000176737298 | 190826 Manzana 9 lote 11 palo verde | CLAVE DE RASTREO NU3AGN7SU6199SVPEIHT7P8T35HU</x:v>
      </x:c>
      <x:c r="J408" s="21"/>
      <x:c r="K408" s="21" t="n">
        <x:v>1500</x:v>
      </x:c>
      <x:c r="L408" s="21" t="n">
        <x:v>331927.34</x:v>
      </x:c>
      <x:c r="M408" s="22" t="n">
        <x:v>39</x:v>
      </x:c>
    </x:row>
    <x:row r="409" ht="30" customHeight="1">
      <x:c r="A409" s="16" t="n">
        <x:v>46253</x:v>
      </x:c>
      <x:c r="B409" s="17" t="str">
        <x:v>4114217173</x:v>
      </x:c>
      <x:c r="C409" s="18" t="str">
        <x:v>DEPOSITO SPEI</x:v>
      </x:c>
      <x:c r="D409" s="18" t="str">
        <x:v>JORGE ARTURO BARRON PINTO</x:v>
      </x:c>
      <x:c r="E409" s="18" t="str">
        <x:v>BBVA MEXICO</x:v>
      </x:c>
      <x:c r="F409" s="17" t="str">
        <x:v>CTA 012040015141669783</x:v>
      </x:c>
      <x:c r="G409" s="19" t="str">
        <x:v>3107260 Jorge Arturo Barron Pinto M30 L05</x:v>
      </x:c>
      <x:c r="H409" s="20" t="str">
        <x:v>RASTREO MBAN01002608190083418833</x:v>
      </x:c>
      <x:c r="I409" s="19" t="str">
        <x:v>DEPOSITO SPEI | JORGE ARTURO BARRON PINTO | BBVA MEXICO 012040015141669783 | 3107260 Jorge Arturo Barron Pinto M30 L05 | CLAVE DE RASTREO MBAN01002608190083418833</x:v>
      </x:c>
      <x:c r="J409" s="21"/>
      <x:c r="K409" s="21" t="n">
        <x:v>1500</x:v>
      </x:c>
      <x:c r="L409" s="21" t="n">
        <x:v>333427.34</x:v>
      </x:c>
      <x:c r="M409" s="22" t="n">
        <x:v>39</x:v>
      </x:c>
    </x:row>
    <x:row r="410" ht="30" customHeight="1">
      <x:c r="A410" s="16" t="n">
        <x:v>46253</x:v>
      </x:c>
      <x:c r="B410" s="17" t="str">
        <x:v>4114218779</x:v>
      </x:c>
      <x:c r="C410" s="18" t="str">
        <x:v>DEPOSITO SPEI</x:v>
      </x:c>
      <x:c r="D410" s="18" t="str">
        <x:v>SUSANA ZENDEJAS CARDENAS</x:v>
      </x:c>
      <x:c r="E410" s="18" t="str">
        <x:v>BBVA MEXICO</x:v>
      </x:c>
      <x:c r="F410" s="17" t="str">
        <x:v>CTA 012040015749759985</x:v>
      </x:c>
      <x:c r="G410" s="19" t="str">
        <x:v>3107260 luis mazon manzana 19 L1</x:v>
      </x:c>
      <x:c r="H410" s="20" t="str">
        <x:v>RASTREO MBAN01002608190083425974</x:v>
      </x:c>
      <x:c r="I410" s="19" t="str">
        <x:v>DEPOSITO SPEI | SUSANA ZENDEJAS CARDENAS | BBVA MEXICO 012040015749759985 | 3107260 luis mazon manzana 19 L1 | CLAVE DE RASTREO MBAN01002608190083425974</x:v>
      </x:c>
      <x:c r="J410" s="21"/>
      <x:c r="K410" s="21" t="n">
        <x:v>1500</x:v>
      </x:c>
      <x:c r="L410" s="21" t="n">
        <x:v>334927.34</x:v>
      </x:c>
      <x:c r="M410" s="22" t="n">
        <x:v>39</x:v>
      </x:c>
    </x:row>
    <x:row r="411" ht="30" customHeight="1">
      <x:c r="A411" s="16" t="n">
        <x:v>46253</x:v>
      </x:c>
      <x:c r="B411" s="17" t="str">
        <x:v>4114220192</x:v>
      </x:c>
      <x:c r="C411" s="18" t="str">
        <x:v>DEPOSITO SPEI</x:v>
      </x:c>
      <x:c r="D411" s="18" t="str">
        <x:v>SUSANA ZENDEJAS CARDENAS</x:v>
      </x:c>
      <x:c r="E411" s="18" t="str">
        <x:v>BBVA MEXICO</x:v>
      </x:c>
      <x:c r="F411" s="17" t="str">
        <x:v>CTA 012040015749759985</x:v>
      </x:c>
      <x:c r="G411" s="19" t="str">
        <x:v>3107260 luis mazon mna 19 L1</x:v>
      </x:c>
      <x:c r="H411" s="20" t="str">
        <x:v>RASTREO MBAN01002608190083431557</x:v>
      </x:c>
      <x:c r="I411" s="19" t="str">
        <x:v>DEPOSITO SPEI | SUSANA ZENDEJAS CARDENAS | BBVA MEXICO 012040015749759985 | 3107260 luis mazon mna 19 L1 | CLAVE DE RASTREO MBAN01002608190083431557</x:v>
      </x:c>
      <x:c r="J411" s="21"/>
      <x:c r="K411" s="21" t="n">
        <x:v>1500</x:v>
      </x:c>
      <x:c r="L411" s="21" t="n">
        <x:v>336427.34</x:v>
      </x:c>
      <x:c r="M411" s="22" t="n">
        <x:v>39</x:v>
      </x:c>
    </x:row>
    <x:row r="412" ht="30" customHeight="1">
      <x:c r="A412" s="16" t="n">
        <x:v>46253</x:v>
      </x:c>
      <x:c r="B412" s="17" t="str">
        <x:v>4114221326</x:v>
      </x:c>
      <x:c r="C412" s="18" t="str">
        <x:v>DEPOSITO SPEI</x:v>
      </x:c>
      <x:c r="D412" s="18" t="str">
        <x:v>SUSANA ZENDEJAS CARDENAS</x:v>
      </x:c>
      <x:c r="E412" s="18" t="str">
        <x:v>BBVA MEXICO</x:v>
      </x:c>
      <x:c r="F412" s="17" t="str">
        <x:v>CTA 012040015749759985</x:v>
      </x:c>
      <x:c r="G412" s="19" t="str">
        <x:v>3107260 luiz mazon MNA 19 L2</x:v>
      </x:c>
      <x:c r="H412" s="20" t="str">
        <x:v>RASTREO MBAN01002608190083436041</x:v>
      </x:c>
      <x:c r="I412" s="19" t="str">
        <x:v>DEPOSITO SPEI | SUSANA ZENDEJAS CARDENAS | BBVA MEXICO 012040015749759985 | 3107260 luiz mazon MNA 19 L2 | CLAVE DE RASTREO MBAN01002608190083436041</x:v>
      </x:c>
      <x:c r="J412" s="21"/>
      <x:c r="K412" s="21" t="n">
        <x:v>1500</x:v>
      </x:c>
      <x:c r="L412" s="21" t="n">
        <x:v>337927.34</x:v>
      </x:c>
      <x:c r="M412" s="22" t="n">
        <x:v>39</x:v>
      </x:c>
    </x:row>
    <x:row r="413" ht="30" customHeight="1">
      <x:c r="A413" s="16" t="n">
        <x:v>46253</x:v>
      </x:c>
      <x:c r="B413" s="17" t="str">
        <x:v>4114222187</x:v>
      </x:c>
      <x:c r="C413" s="18" t="str">
        <x:v>DEPOSITO SPEI</x:v>
      </x:c>
      <x:c r="D413" s="18" t="str">
        <x:v>SUSANA ZENDEJAS CARDENAS</x:v>
      </x:c>
      <x:c r="E413" s="18" t="str">
        <x:v>BBVA MEXICO</x:v>
      </x:c>
      <x:c r="F413" s="17" t="str">
        <x:v>CTA 012040015749759985</x:v>
      </x:c>
      <x:c r="G413" s="19" t="str">
        <x:v>3107260 luis mazon MNA 19 L2</x:v>
      </x:c>
      <x:c r="H413" s="20" t="str">
        <x:v>RASTREO MBAN01002608190083440362</x:v>
      </x:c>
      <x:c r="I413" s="19" t="str">
        <x:v>DEPOSITO SPEI | SUSANA ZENDEJAS CARDENAS | BBVA MEXICO 012040015749759985 | 3107260 luis mazon MNA 19 L2 | CLAVE DE RASTREO MBAN01002608190083440362</x:v>
      </x:c>
      <x:c r="J413" s="21"/>
      <x:c r="K413" s="21" t="n">
        <x:v>1500</x:v>
      </x:c>
      <x:c r="L413" s="21" t="n">
        <x:v>339427.34</x:v>
      </x:c>
      <x:c r="M413" s="22" t="n">
        <x:v>39</x:v>
      </x:c>
    </x:row>
    <x:row r="414" ht="30" customHeight="1">
      <x:c r="A414" s="16" t="n">
        <x:v>46253</x:v>
      </x:c>
      <x:c r="B414" s="17" t="str">
        <x:v>4114246740</x:v>
      </x:c>
      <x:c r="C414" s="18" t="str">
        <x:v>DEPOSITO SPEI</x:v>
      </x:c>
      <x:c r="D414" s="18" t="str">
        <x:v>RICARDO OSWALDO ISLAS SEPULVEDA</x:v>
      </x:c>
      <x:c r="E414" s="18" t="str">
        <x:v>Mercado Pago W</x:v>
      </x:c>
      <x:c r="F414" s="17" t="str">
        <x:v>CTA 722969010740795631</x:v>
      </x:c>
      <x:c r="G414" s="19" t="str">
        <x:v>9896305 Palo verde</x:v>
      </x:c>
      <x:c r="H414" s="20" t="str">
        <x:v>RASTREO CPO173699896305</x:v>
      </x:c>
      <x:c r="I414" s="19" t="str">
        <x:v>DEPOSITO SPEI | RICARDO OSWALDO ISLAS SEPULVEDA | Mercado Pago W 722969010740795631 | 9896305 Palo verde | CLAVE DE RASTREO CPO173699896305</x:v>
      </x:c>
      <x:c r="J414" s="21"/>
      <x:c r="K414" s="21" t="n">
        <x:v>1567</x:v>
      </x:c>
      <x:c r="L414" s="21" t="n">
        <x:v>340994.34</x:v>
      </x:c>
      <x:c r="M414" s="22" t="n">
        <x:v>39</x:v>
      </x:c>
    </x:row>
    <x:row r="415" ht="30" customHeight="1">
      <x:c r="A415" s="16" t="n">
        <x:v>46253</x:v>
      </x:c>
      <x:c r="B415" s="17" t="str">
        <x:v>4114318780</x:v>
      </x:c>
      <x:c r="C415" s="18" t="str">
        <x:v>DEPOSITO EN CUENTA</x:v>
      </x:c>
      <x:c r="D415" s="18" t="str"/>
      <x:c r="E415" s="18" t="str"/>
      <x:c r="F415" s="17" t="str"/>
      <x:c r="G415" s="19" t="str">
        <x:v>MIXTO Efectivo 10,667.00</x:v>
      </x:c>
      <x:c r="H415" s="20" t="str"/>
      <x:c r="I415" s="19" t="str">
        <x:v>DEPOSITO EN CUENTA | MIXTO Efectivo 10,667.00</x:v>
      </x:c>
      <x:c r="J415" s="21"/>
      <x:c r="K415" s="21" t="n">
        <x:v>10667</x:v>
      </x:c>
      <x:c r="L415" s="21" t="n">
        <x:v>351661.34</x:v>
      </x:c>
      <x:c r="M415" s="22" t="n">
        <x:v>39</x:v>
      </x:c>
    </x:row>
    <x:row r="416" ht="30" customHeight="1">
      <x:c r="A416" s="16" t="n">
        <x:v>46253</x:v>
      </x:c>
      <x:c r="B416" s="17" t="str">
        <x:v>4114318780</x:v>
      </x:c>
      <x:c r="C416" s="18" t="str">
        <x:v>DEPOSITO EN CUENTA</x:v>
      </x:c>
      <x:c r="D416" s="18" t="str"/>
      <x:c r="E416" s="18" t="str"/>
      <x:c r="F416" s="17" t="str"/>
      <x:c r="G416" s="19" t="str">
        <x:v>MIXTO Efectivo 10,667.00</x:v>
      </x:c>
      <x:c r="H416" s="20" t="str"/>
      <x:c r="I416" s="19" t="str">
        <x:v>DEPOSITO EN CUENTA | MIXTO Efectivo 10,667.00</x:v>
      </x:c>
      <x:c r="J416" s="21"/>
      <x:c r="K416" s="21" t="n">
        <x:v>10667</x:v>
      </x:c>
      <x:c r="L416" s="21" t="n">
        <x:v>362328.34</x:v>
      </x:c>
      <x:c r="M416" s="22" t="n">
        <x:v>40</x:v>
      </x:c>
    </x:row>
    <x:row r="417" ht="30" customHeight="1">
      <x:c r="A417" s="16" t="n">
        <x:v>46253</x:v>
      </x:c>
      <x:c r="B417" s="17" t="str">
        <x:v>4114357002</x:v>
      </x:c>
      <x:c r="C417" s="18" t="str">
        <x:v>DEPOSITO SPEI</x:v>
      </x:c>
      <x:c r="D417" s="18" t="str">
        <x:v>EDITH VIRIDIANA MENDOZA BANDERAS</x:v>
      </x:c>
      <x:c r="E417" s="18" t="str">
        <x:v>BANORTE</x:v>
      </x:c>
      <x:c r="F417" s="17" t="str">
        <x:v>CTA 072045012325038806</x:v>
      </x:c>
      <x:c r="G417" s="19" t="str">
        <x:v>260819 EDITH MENDOZA M24L20 PALO VERDE</x:v>
      </x:c>
      <x:c r="H417" s="20" t="str">
        <x:v>RASTREO 38432P01202608195671171320</x:v>
      </x:c>
      <x:c r="I417" s="19" t="str">
        <x:v>DEPOSITO SPEI | EDITH VIRIDIANA MENDOZA BANDERAS | BANORTE 072045012325038806 | 260819 EDITH MENDOZA M24L20 PALO VERDE | CLAVE DE RASTREO 38432P01202608195671171320</x:v>
      </x:c>
      <x:c r="J417" s="21"/>
      <x:c r="K417" s="21" t="n">
        <x:v>644</x:v>
      </x:c>
      <x:c r="L417" s="21" t="n">
        <x:v>362972.34</x:v>
      </x:c>
      <x:c r="M417" s="22" t="n">
        <x:v>40</x:v>
      </x:c>
    </x:row>
    <x:row r="418" ht="30" customHeight="1">
      <x:c r="A418" s="16" t="n">
        <x:v>46253</x:v>
      </x:c>
      <x:c r="B418" s="17" t="str">
        <x:v>4114386038</x:v>
      </x:c>
      <x:c r="C418" s="18" t="str">
        <x:v>DEPOSITO SPEI</x:v>
      </x:c>
      <x:c r="D418" s="18" t="str">
        <x:v>BLANCA MARGARITA MARQUEZ ALVAREZ</x:v>
      </x:c>
      <x:c r="E418" s="18" t="str">
        <x:v>BANORTE</x:v>
      </x:c>
      <x:c r="F418" s="17" t="str">
        <x:v>CTA 072041011790094234</x:v>
      </x:c>
      <x:c r="G418" s="19" t="str">
        <x:v>260819 M26 L39 Blanca Margarita Marquez Alvarez</x:v>
      </x:c>
      <x:c r="H418" s="20" t="str">
        <x:v>RASTREO 38432P04202608195671224527</x:v>
      </x:c>
      <x:c r="I418" s="19" t="str">
        <x:v>DEPOSITO SPEI | BLANCA MARGARITA MARQUEZ ALVAREZ | BANORTE 072041011790094234 | 260819 M26 L39 Blanca Margarita Marquez Alvarez | CLAVE DE RASTREO 38432P04202608195671224527</x:v>
      </x:c>
      <x:c r="J418" s="21"/>
      <x:c r="K418" s="21" t="n">
        <x:v>1500</x:v>
      </x:c>
      <x:c r="L418" s="21" t="n">
        <x:v>364472.34</x:v>
      </x:c>
      <x:c r="M418" s="22" t="n">
        <x:v>40</x:v>
      </x:c>
    </x:row>
    <x:row r="419" ht="30" customHeight="1">
      <x:c r="A419" s="16" t="n">
        <x:v>46253</x:v>
      </x:c>
      <x:c r="B419" s="17" t="str">
        <x:v>4114388893</x:v>
      </x:c>
      <x:c r="C419" s="18" t="str">
        <x:v>DEPOSITO SPEI</x:v>
      </x:c>
      <x:c r="D419" s="18" t="str">
        <x:v>BLANCA MARGARITA MARQUEZ ALVAREZ</x:v>
      </x:c>
      <x:c r="E419" s="18" t="str">
        <x:v>BANORTE</x:v>
      </x:c>
      <x:c r="F419" s="17" t="str">
        <x:v>CTA 072041011790094234</x:v>
      </x:c>
      <x:c r="G419" s="19" t="str">
        <x:v>260819 M26 L18 Blanca Margarita Marquez Alvarez</x:v>
      </x:c>
      <x:c r="H419" s="20" t="str">
        <x:v>RASTREO 38432P06202608195671229570</x:v>
      </x:c>
      <x:c r="I419" s="19" t="str">
        <x:v>DEPOSITO SPEI | BLANCA MARGARITA MARQUEZ ALVAREZ | BANORTE 072041011790094234 | 260819 M26 L18 Blanca Margarita Marquez Alvarez | CLAVE DE RASTREO 38432P06202608195671229570</x:v>
      </x:c>
      <x:c r="J419" s="21"/>
      <x:c r="K419" s="21" t="n">
        <x:v>1500</x:v>
      </x:c>
      <x:c r="L419" s="21" t="n">
        <x:v>365972.34</x:v>
      </x:c>
      <x:c r="M419" s="22" t="n">
        <x:v>40</x:v>
      </x:c>
    </x:row>
    <x:row r="420" ht="30" customHeight="1">
      <x:c r="A420" s="16" t="n">
        <x:v>46253</x:v>
      </x:c>
      <x:c r="B420" s="17" t="str">
        <x:v>4114423964</x:v>
      </x:c>
      <x:c r="C420" s="18" t="str">
        <x:v>DEPOSITO SPEI</x:v>
      </x:c>
      <x:c r="D420" s="18" t="str">
        <x:v>NORMA ARACELI SEGOVIANO TORRES</x:v>
      </x:c>
      <x:c r="E420" s="18" t="str">
        <x:v>BANCOPPEL</x:v>
      </x:c>
      <x:c r="F420" s="17" t="str">
        <x:v>CTA 137061104833119536</x:v>
      </x:c>
      <x:c r="G420" s="19" t="str">
        <x:v>1908260 mensualidada Norma Segoviano.</x:v>
      </x:c>
      <x:c r="H420" s="20" t="str">
        <x:v>RASTREO 50119536TRANSBPI94524982</x:v>
      </x:c>
      <x:c r="I420" s="19" t="str">
        <x:v>DEPOSITO SPEI | NORMA ARACELI SEGOVIANO TORRES | BANCOPPEL 137061104833119536 | 1908260 mensualidada Norma Segoviano. | CLAVE DE RASTREO 50119536TRANSBPI94524982</x:v>
      </x:c>
      <x:c r="J420" s="21"/>
      <x:c r="K420" s="21" t="n">
        <x:v>2390</x:v>
      </x:c>
      <x:c r="L420" s="21" t="n">
        <x:v>368362.34</x:v>
      </x:c>
      <x:c r="M420" s="22" t="n">
        <x:v>40</x:v>
      </x:c>
    </x:row>
    <x:row r="421" ht="30" customHeight="1">
      <x:c r="A421" s="16" t="n">
        <x:v>46253</x:v>
      </x:c>
      <x:c r="B421" s="17" t="str">
        <x:v>8202629294</x:v>
      </x:c>
      <x:c r="C421" s="18" t="str">
        <x:v>TRANSFERENCIA SPEI</x:v>
      </x:c>
      <x:c r="D421" s="18" t="str">
        <x:v>Efrén Peralta Guzman</x:v>
      </x:c>
      <x:c r="E421" s="18" t="str">
        <x:v>BBVA MEXICO</x:v>
      </x:c>
      <x:c r="F421" s="17" t="str">
        <x:v>CTA 012180015579460689</x:v>
      </x:c>
      <x:c r="G421" s="19" t="str">
        <x:v>20260819 Pago Suburban y arreglada de carros | 036NAPP19082026292944084 RFC NO DISPONIBLE</x:v>
      </x:c>
      <x:c r="H421" s="20" t="str"/>
      <x:c r="I421" s="19" t="str">
        <x:v>TRANSFERENCIA SPEI | Efrén Peralta Guzman | BBVA MEXICO 012180015579460689 | 20260819 Pago Suburban y arreglada de carros | 036NAPP19082026292944084 RFC NO DISPONIBLE</x:v>
      </x:c>
      <x:c r="J421" s="21" t="n">
        <x:v>27300</x:v>
      </x:c>
      <x:c r="K421" s="21"/>
      <x:c r="L421" s="21" t="n">
        <x:v>341062.34</x:v>
      </x:c>
      <x:c r="M421" s="22" t="n">
        <x:v>40</x:v>
      </x:c>
    </x:row>
    <x:row r="422" ht="30" customHeight="1">
      <x:c r="A422" s="16" t="n">
        <x:v>46253</x:v>
      </x:c>
      <x:c r="B422" s="17" t="str">
        <x:v>4114528229</x:v>
      </x:c>
      <x:c r="C422" s="18" t="str">
        <x:v>DEPOSITO SPEI</x:v>
      </x:c>
      <x:c r="D422" s="18" t="str">
        <x:v>SUSANA ZENDEJAS CARDENAS</x:v>
      </x:c>
      <x:c r="E422" s="18" t="str">
        <x:v>BBVA MEXICO</x:v>
      </x:c>
      <x:c r="F422" s="17" t="str">
        <x:v>CTA 012040015749759985</x:v>
      </x:c>
      <x:c r="G422" s="19" t="str">
        <x:v>3107260 RECARGOS MNA 19 L1</x:v>
      </x:c>
      <x:c r="H422" s="20" t="str">
        <x:v>RASTREO MBAN01002608190084321647</x:v>
      </x:c>
      <x:c r="I422" s="19" t="str">
        <x:v>DEPOSITO SPEI | SUSANA ZENDEJAS CARDENAS | BBVA MEXICO 012040015749759985 | 3107260 RECARGOS MNA 19 L1 | CLAVE DE RASTREO MBAN01002608190084321647</x:v>
      </x:c>
      <x:c r="J422" s="21"/>
      <x:c r="K422" s="21" t="n">
        <x:v>1500</x:v>
      </x:c>
      <x:c r="L422" s="21" t="n">
        <x:v>342562.34</x:v>
      </x:c>
      <x:c r="M422" s="22" t="n">
        <x:v>40</x:v>
      </x:c>
    </x:row>
    <x:row r="423" ht="30" customHeight="1">
      <x:c r="A423" s="16" t="n">
        <x:v>46253</x:v>
      </x:c>
      <x:c r="B423" s="17" t="str">
        <x:v>4114530575</x:v>
      </x:c>
      <x:c r="C423" s="18" t="str">
        <x:v>DEPOSITO SPEI</x:v>
      </x:c>
      <x:c r="D423" s="18" t="str">
        <x:v>SUSANA ZENDEJAS CARDENAS</x:v>
      </x:c>
      <x:c r="E423" s="18" t="str">
        <x:v>BBVA MEXICO</x:v>
      </x:c>
      <x:c r="F423" s="17" t="str">
        <x:v>CTA 012040015749759985</x:v>
      </x:c>
      <x:c r="G423" s="19" t="str">
        <x:v>3107260 RECARGOS MNZ 19 L2</x:v>
      </x:c>
      <x:c r="H423" s="20" t="str">
        <x:v>RASTREO MBAN01002608190084328153</x:v>
      </x:c>
      <x:c r="I423" s="19" t="str">
        <x:v>DEPOSITO SPEI | SUSANA ZENDEJAS CARDENAS | BBVA MEXICO 012040015749759985 | 3107260 RECARGOS MNZ 19 L2 | CLAVE DE RASTREO MBAN01002608190084328153</x:v>
      </x:c>
      <x:c r="J423" s="21"/>
      <x:c r="K423" s="21" t="n">
        <x:v>1500</x:v>
      </x:c>
      <x:c r="L423" s="21" t="n">
        <x:v>344062.34</x:v>
      </x:c>
      <x:c r="M423" s="22" t="n">
        <x:v>40</x:v>
      </x:c>
    </x:row>
    <x:row r="424" ht="30" customHeight="1">
      <x:c r="A424" s="16" t="n">
        <x:v>46253</x:v>
      </x:c>
      <x:c r="B424" s="17" t="str">
        <x:v>4114577341</x:v>
      </x:c>
      <x:c r="C424" s="18" t="str">
        <x:v>DEPOSITO SPEI</x:v>
      </x:c>
      <x:c r="D424" s="18" t="str">
        <x:v>Ambrosio Castro Saldaña</x:v>
      </x:c>
      <x:c r="E424" s="18" t="str">
        <x:v>SPIN BY OXXO</x:v>
      </x:c>
      <x:c r="F424" s="17" t="str">
        <x:v>CTA 728969000133688628</x:v>
      </x:c>
      <x:c r="G424" s="19" t="str">
        <x:v>4112817 Pago de un lote</x:v>
      </x:c>
      <x:c r="H424" s="20" t="str">
        <x:v>RASTREO SPIN-20260819204337HN2I3XB3</x:v>
      </x:c>
      <x:c r="I424" s="19" t="str">
        <x:v>DEPOSITO SPEI | Ambrosio Castro Saldaña | SPIN BY OXXO 728969000133688628 | 4112817 Pago de un lote | CLAVE DE RASTREO SPIN-20260819204337HN2I3XB3</x:v>
      </x:c>
      <x:c r="J424" s="21"/>
      <x:c r="K424" s="21" t="n">
        <x:v>1500</x:v>
      </x:c>
      <x:c r="L424" s="21" t="n">
        <x:v>345562.34</x:v>
      </x:c>
      <x:c r="M424" s="22" t="n">
        <x:v>40</x:v>
      </x:c>
    </x:row>
    <x:row r="425" ht="30" customHeight="1">
      <x:c r="A425" s="16" t="n">
        <x:v>46253</x:v>
      </x:c>
      <x:c r="B425" s="17" t="str">
        <x:v>4114597024</x:v>
      </x:c>
      <x:c r="C425" s="18" t="str">
        <x:v>DEPOSITO SPEI</x:v>
      </x:c>
      <x:c r="D425" s="18" t="str">
        <x:v>CRISTIAN ANDRES CASTRO BERRELLEZA</x:v>
      </x:c>
      <x:c r="E425" s="18" t="str">
        <x:v>BBVA MEXICO</x:v>
      </x:c>
      <x:c r="F425" s="17" t="str">
        <x:v>CTA 012180015576520412</x:v>
      </x:c>
      <x:c r="G425" s="19" t="str">
        <x:v>3107260 palo verde manzana 21 lote 23</x:v>
      </x:c>
      <x:c r="H425" s="20" t="str">
        <x:v>RASTREO MBAN01002608190084577171</x:v>
      </x:c>
      <x:c r="I425" s="19" t="str">
        <x:v>DEPOSITO SPEI | CRISTIAN ANDRES CASTRO BERRELLEZA | BBVA MEXICO 012180015576520412 | 3107260 palo verde manzana 21 lote 23 | CLAVE DE RASTREO MBAN01002608190084577171</x:v>
      </x:c>
      <x:c r="J425" s="21"/>
      <x:c r="K425" s="21" t="n">
        <x:v>1500</x:v>
      </x:c>
      <x:c r="L425" s="21" t="n">
        <x:v>347062.34</x:v>
      </x:c>
      <x:c r="M425" s="22" t="n">
        <x:v>40</x:v>
      </x:c>
    </x:row>
    <x:row r="426" ht="30" customHeight="1">
      <x:c r="A426" s="16" t="n">
        <x:v>46253</x:v>
      </x:c>
      <x:c r="B426" s="17" t="str">
        <x:v>4114656343</x:v>
      </x:c>
      <x:c r="C426" s="18" t="str">
        <x:v>DEPOSITO SPEI</x:v>
      </x:c>
      <x:c r="D426" s="18" t="str">
        <x:v>ARTURO AVILES COBIAN</x:v>
      </x:c>
      <x:c r="E426" s="18" t="str">
        <x:v>BANCOPPEL</x:v>
      </x:c>
      <x:c r="F426" s="17" t="str">
        <x:v>CTA 137040101875108943</x:v>
      </x:c>
      <x:c r="G426" s="19" t="str">
        <x:v>1908261 PV M26 L53 ANUALIDAD</x:v>
      </x:c>
      <x:c r="H426" s="20" t="str">
        <x:v>RASTREO 50118943TRANSBPI96747329</x:v>
      </x:c>
      <x:c r="I426" s="19" t="str">
        <x:v>DEPOSITO SPEI | ARTURO AVILES COBIAN | BANCOPPEL 137040101875108943 | 1908261 PV M26 L53 ANUALIDAD | CLAVE DE RASTREO 50118943TRANSBPI96747329</x:v>
      </x:c>
      <x:c r="J426" s="21"/>
      <x:c r="K426" s="21" t="n">
        <x:v>3000</x:v>
      </x:c>
      <x:c r="L426" s="21" t="n">
        <x:v>350062.34</x:v>
      </x:c>
      <x:c r="M426" s="22" t="n">
        <x:v>41</x:v>
      </x:c>
    </x:row>
    <x:row r="427" ht="30" customHeight="1">
      <x:c r="A427" s="16" t="n">
        <x:v>46253</x:v>
      </x:c>
      <x:c r="B427" s="17" t="str">
        <x:v>4114731576</x:v>
      </x:c>
      <x:c r="C427" s="18" t="str">
        <x:v>DEPOSITO SPEI</x:v>
      </x:c>
      <x:c r="D427" s="18" t="str">
        <x:v>Jose Antonio Hernandez Cervantes</x:v>
      </x:c>
      <x:c r="E427" s="18" t="str">
        <x:v>SPIN BY OXXO</x:v>
      </x:c>
      <x:c r="F427" s="17" t="str">
        <x:v>CTA 728969000025826857</x:v>
      </x:c>
      <x:c r="G427" s="19" t="str">
        <x:v>8072868 Manzana 7 Lote 15 Ubaldo hdez mtz</x:v>
      </x:c>
      <x:c r="H427" s="20" t="str">
        <x:v>RASTREO SPIN-20260819224421OWA8R0F4</x:v>
      </x:c>
      <x:c r="I427" s="19" t="str">
        <x:v>DEPOSITO SPEI | Jose Antonio Hernandez Cervantes | SPIN BY OXXO 728969000025826857 | 8072868 Manzana 7 Lote 15 Ubaldo hdez mtz | CLAVE DE RASTREO SPIN-20260819224421OWA8R0F4</x:v>
      </x:c>
      <x:c r="J427" s="21"/>
      <x:c r="K427" s="21" t="n">
        <x:v>2805</x:v>
      </x:c>
      <x:c r="L427" s="21" t="n">
        <x:v>352867.34</x:v>
      </x:c>
      <x:c r="M427" s="22" t="n">
        <x:v>41</x:v>
      </x:c>
    </x:row>
    <x:row r="428" ht="30" customHeight="1">
      <x:c r="A428" s="16" t="n">
        <x:v>46253</x:v>
      </x:c>
      <x:c r="B428" s="17" t="str">
        <x:v>4114748521</x:v>
      </x:c>
      <x:c r="C428" s="18" t="str">
        <x:v>DEPOSITO SPEI</x:v>
      </x:c>
      <x:c r="D428" s="18" t="str">
        <x:v>DANIEL,SEPULVEDA/DIAZ</x:v>
      </x:c>
      <x:c r="E428" s="18" t="str">
        <x:v>BANAMEX</x:v>
      </x:c>
      <x:c r="F428" s="17" t="str">
        <x:v>CTA 002045900753211380</x:v>
      </x:c>
      <x:c r="G428" s="19" t="str">
        <x:v>190826 pago anualidad lte10 2026 dsd</x:v>
      </x:c>
      <x:c r="H428" s="20" t="str">
        <x:v>RASTREO 085905254134323160</x:v>
      </x:c>
      <x:c r="I428" s="19" t="str">
        <x:v>DEPOSITO SPEI | DANIEL,SEPULVEDA/DIAZ | BANAMEX 002045900753211380 | 190826 pago anualidad lte10 2026 dsd | CLAVE DE RASTREO 085905254134323160</x:v>
      </x:c>
      <x:c r="J428" s="21"/>
      <x:c r="K428" s="21" t="n">
        <x:v>10667</x:v>
      </x:c>
      <x:c r="L428" s="21" t="n">
        <x:v>363534.34</x:v>
      </x:c>
      <x:c r="M428" s="22" t="n">
        <x:v>41</x:v>
      </x:c>
    </x:row>
    <x:row r="429" ht="30" customHeight="1">
      <x:c r="A429" s="16" t="n">
        <x:v>46253</x:v>
      </x:c>
      <x:c r="B429" s="17" t="str">
        <x:v>4114752212</x:v>
      </x:c>
      <x:c r="C429" s="18" t="str">
        <x:v>DEPOSITO SPEI</x:v>
      </x:c>
      <x:c r="D429" s="18" t="str">
        <x:v>DANIEL,SEPULVEDA/DIAZ</x:v>
      </x:c>
      <x:c r="E429" s="18" t="str">
        <x:v>BANAMEX</x:v>
      </x:c>
      <x:c r="F429" s="17" t="str">
        <x:v>CTA 002045900753211380</x:v>
      </x:c>
      <x:c r="G429" s="19" t="str">
        <x:v>190826 pago 1ra anualidad 2026 lte 11 dsd</x:v>
      </x:c>
      <x:c r="H429" s="20" t="str">
        <x:v>RASTREO 085905282774323165</x:v>
      </x:c>
      <x:c r="I429" s="19" t="str">
        <x:v>DEPOSITO SPEI | DANIEL,SEPULVEDA/DIAZ | BANAMEX 002045900753211380 | 190826 pago 1ra anualidad 2026 lte 11 dsd | CLAVE DE RASTREO 085905282774323165</x:v>
      </x:c>
      <x:c r="J429" s="21"/>
      <x:c r="K429" s="21" t="n">
        <x:v>10667</x:v>
      </x:c>
      <x:c r="L429" s="21" t="n">
        <x:v>374201.34</x:v>
      </x:c>
      <x:c r="M429" s="22" t="n">
        <x:v>41</x:v>
      </x:c>
    </x:row>
    <x:row r="430" ht="30" customHeight="1">
      <x:c r="A430" s="16" t="n">
        <x:v>46253</x:v>
      </x:c>
      <x:c r="B430" s="17" t="str">
        <x:v>4114849813</x:v>
      </x:c>
      <x:c r="C430" s="18" t="str">
        <x:v>DEPOSITO SPEI</x:v>
      </x:c>
      <x:c r="D430" s="18" t="str">
        <x:v>MARIA GUADALUPE LEAL HERNANDEZ</x:v>
      </x:c>
      <x:c r="E430" s="18" t="str">
        <x:v>Mercado Pago W</x:v>
      </x:c>
      <x:c r="F430" s="17" t="str">
        <x:v>CTA 722969020508400462</x:v>
      </x:c>
      <x:c r="G430" s="19" t="str">
        <x:v>5051858 Maria Guadalupe Leal Hernandez L6 M4</x:v>
      </x:c>
      <x:c r="H430" s="20" t="str">
        <x:v>RASTREO CPO174695051858</x:v>
      </x:c>
      <x:c r="I430" s="19" t="str">
        <x:v>DEPOSITO SPEI | MARIA GUADALUPE LEAL HERNANDEZ | Mercado Pago W 722969020508400462 | 5051858 Maria Guadalupe Leal Hernandez L6 M4 | CLAVE DE RASTREO CPO174695051858</x:v>
      </x:c>
      <x:c r="J430" s="21"/>
      <x:c r="K430" s="21" t="n">
        <x:v>1500</x:v>
      </x:c>
      <x:c r="L430" s="21" t="n">
        <x:v>375701.34</x:v>
      </x:c>
      <x:c r="M430" s="22" t="n">
        <x:v>41</x:v>
      </x:c>
    </x:row>
    <x:row r="431" ht="30" customHeight="1">
      <x:c r="A431" s="16" t="n">
        <x:v>46253</x:v>
      </x:c>
      <x:c r="B431" s="17" t="str">
        <x:v>4114895575</x:v>
      </x:c>
      <x:c r="C431" s="18" t="str">
        <x:v>DEPOSITO SPEI</x:v>
      </x:c>
      <x:c r="D431" s="18" t="str">
        <x:v>ELIU SOTO APOLINAR</x:v>
      </x:c>
      <x:c r="E431" s="18" t="str">
        <x:v>Mercado Pago W</x:v>
      </x:c>
      <x:c r="F431" s="17" t="str">
        <x:v>CTA 722969010067159361</x:v>
      </x:c>
      <x:c r="G431" s="19" t="str">
        <x:v>1661466 L6 M22 Palo verde Eliú Soto Apolinar</x:v>
      </x:c>
      <x:c r="H431" s="20" t="str">
        <x:v>RASTREO CPO174701661466</x:v>
      </x:c>
      <x:c r="I431" s="19" t="str">
        <x:v>DEPOSITO SPEI | ELIU SOTO APOLINAR | Mercado Pago W 722969010067159361 | 1661466 L6 M22 Palo verde Eliú Soto Apolinar | CLAVE DE RASTREO CPO174701661466</x:v>
      </x:c>
      <x:c r="J431" s="21"/>
      <x:c r="K431" s="21" t="n">
        <x:v>9552</x:v>
      </x:c>
      <x:c r="L431" s="21" t="n">
        <x:v>385253.34</x:v>
      </x:c>
      <x:c r="M431" s="22" t="n">
        <x:v>41</x:v>
      </x:c>
    </x:row>
    <x:row r="432" ht="30" customHeight="1">
      <x:c r="A432" s="16" t="n">
        <x:v>46253</x:v>
      </x:c>
      <x:c r="B432" s="17" t="str">
        <x:v>8202629300</x:v>
      </x:c>
      <x:c r="C432" s="18" t="str">
        <x:v>TRANSFERENCIA SPEI</x:v>
      </x:c>
      <x:c r="D432" s="18" t="str">
        <x:v>Alejandro Talamantes</x:v>
      </x:c>
      <x:c r="E432" s="18" t="str">
        <x:v>BANAMEX</x:v>
      </x:c>
      <x:c r="F432" s="17" t="str">
        <x:v>CTA 5204160409568941</x:v>
      </x:c>
      <x:c r="G432" s="19" t="str">
        <x:v>20260819 Adelanto | 036NAPP19082026293008426 RFC NO DISPONIBLE</x:v>
      </x:c>
      <x:c r="H432" s="20" t="str"/>
      <x:c r="I432" s="19" t="str">
        <x:v>TRANSFERENCIA SPEI | Alejandro Talamantes | BANAMEX 5204160409568941 | 20260819 Adelanto | 036NAPP19082026293008426 RFC NO DISPONIBLE</x:v>
      </x:c>
      <x:c r="J432" s="21" t="n">
        <x:v>10000</x:v>
      </x:c>
      <x:c r="K432" s="21"/>
      <x:c r="L432" s="21" t="n">
        <x:v>375253.34</x:v>
      </x:c>
      <x:c r="M432" s="22" t="n">
        <x:v>41</x:v>
      </x:c>
    </x:row>
    <x:row r="433" ht="30" customHeight="1">
      <x:c r="A433" s="16" t="n">
        <x:v>46253</x:v>
      </x:c>
      <x:c r="B433" s="17" t="str">
        <x:v>4115010683</x:v>
      </x:c>
      <x:c r="C433" s="18" t="str">
        <x:v>DEPOSITO SPEI</x:v>
      </x:c>
      <x:c r="D433" s="18" t="str">
        <x:v>HETZA MUNIRY CRISTOBAL JIMENEZ</x:v>
      </x:c>
      <x:c r="E433" s="18" t="str">
        <x:v>Mercado Pago W</x:v>
      </x:c>
      <x:c r="F433" s="17" t="str">
        <x:v>CTA 722969010578182115</x:v>
      </x:c>
      <x:c r="G433" s="19" t="str">
        <x:v>2341169 Pago anual Pv M 19 L6</x:v>
      </x:c>
      <x:c r="H433" s="20" t="str">
        <x:v>RASTREO CPO173782341169</x:v>
      </x:c>
      <x:c r="I433" s="19" t="str">
        <x:v>DEPOSITO SPEI | HETZA MUNIRY CRISTOBAL JIMENEZ | Mercado Pago W 722969010578182115 | 2341169 Pago anual Pv M 19 L6 | CLAVE DE RASTREO CPO173782341169</x:v>
      </x:c>
      <x:c r="J433" s="21"/>
      <x:c r="K433" s="21" t="n">
        <x:v>17333</x:v>
      </x:c>
      <x:c r="L433" s="21" t="n">
        <x:v>392586.34</x:v>
      </x:c>
      <x:c r="M433" s="22" t="n">
        <x:v>41</x:v>
      </x:c>
    </x:row>
    <x:row r="434" ht="30" customHeight="1">
      <x:c r="A434" s="16" t="n">
        <x:v>46253</x:v>
      </x:c>
      <x:c r="B434" s="17" t="str">
        <x:v>4115033288</x:v>
      </x:c>
      <x:c r="C434" s="18" t="str">
        <x:v>DEPOSITO SPEI</x:v>
      </x:c>
      <x:c r="D434" s="18" t="str">
        <x:v>Felix Technologies SA de CV</x:v>
      </x:c>
      <x:c r="E434" s="18" t="str">
        <x:v>NVIO</x:v>
      </x:c>
      <x:c r="F434" s="17" t="str">
        <x:v>CTA 710969000038061905</x:v>
      </x:c>
      <x:c r="G434" s="19" t="str">
        <x:v>5307548 Felix: 032ec567e1604d99b9e322e940df19b1</x:v>
      </x:c>
      <x:c r="H434" s="20" t="str">
        <x:v>RASTREO 202608199071009000001893281343</x:v>
      </x:c>
      <x:c r="I434" s="19" t="str">
        <x:v>DEPOSITO SPEI | Felix Technologies SA de CV | NVIO 710969000038061905 | 5307548 Felix: 032ec567e1604d99b9e322e940df19b1 | CLAVE DE RASTREO 202608199071009000001893281343</x:v>
      </x:c>
      <x:c r="J434" s="21"/>
      <x:c r="K434" s="21" t="n">
        <x:v>4791.62</x:v>
      </x:c>
      <x:c r="L434" s="21" t="n">
        <x:v>397377.96</x:v>
      </x:c>
      <x:c r="M434" s="22" t="n">
        <x:v>41</x:v>
      </x:c>
    </x:row>
    <x:row r="435" ht="30" customHeight="1">
      <x:c r="A435" s="16" t="n">
        <x:v>46253</x:v>
      </x:c>
      <x:c r="B435" s="17" t="str">
        <x:v>4115093078</x:v>
      </x:c>
      <x:c r="C435" s="18" t="str">
        <x:v>DEPOSITO SPEI</x:v>
      </x:c>
      <x:c r="D435" s="18" t="str">
        <x:v>JONATHAN ANDRES NUNEZ TORRES</x:v>
      </x:c>
      <x:c r="E435" s="18" t="str">
        <x:v>BANORTE</x:v>
      </x:c>
      <x:c r="F435" s="17" t="str">
        <x:v>CTA 072040010255906351</x:v>
      </x:c>
      <x:c r="G435" s="19" t="str">
        <x:v>260819 jonathan andres n t M16 L1</x:v>
      </x:c>
      <x:c r="H435" s="20" t="str">
        <x:v>RASTREO 38432P02202608195673198079</x:v>
      </x:c>
      <x:c r="I435" s="19" t="str">
        <x:v>DEPOSITO SPEI | JONATHAN ANDRES NUNEZ TORRES | BANORTE 072040010255906351 | 260819 jonathan andres n t M16 L1 | CLAVE DE RASTREO 38432P02202608195673198079</x:v>
      </x:c>
      <x:c r="J435" s="21"/>
      <x:c r="K435" s="21" t="n">
        <x:v>1500</x:v>
      </x:c>
      <x:c r="L435" s="21" t="n">
        <x:v>398877.96</x:v>
      </x:c>
      <x:c r="M435" s="22" t="n">
        <x:v>41</x:v>
      </x:c>
    </x:row>
    <x:row r="436" ht="30" customHeight="1">
      <x:c r="A436" s="16" t="n">
        <x:v>46254</x:v>
      </x:c>
      <x:c r="B436" s="17" t="str">
        <x:v>4115213054</x:v>
      </x:c>
      <x:c r="C436" s="18" t="str">
        <x:v>GAS REPSOL MX</x:v>
      </x:c>
      <x:c r="D436" s="18" t="str"/>
      <x:c r="E436" s="18" t="str"/>
      <x:c r="F436" s="17" t="str"/>
      <x:c r="G436" s="19" t="str">
        <x:v>BANCO INBURSA, S.A. INSTITUCION DE BANCA MULTIPLE, GRUPO</x:v>
      </x:c>
      <x:c r="H436" s="20" t="str"/>
      <x:c r="I436" s="19" t="str">
        <x:v>GAS REPSOL MX | BANCO INBURSA, S.A. INSTITUCION DE BANCA MULTIPLE, GRUPO</x:v>
      </x:c>
      <x:c r="J436" s="21" t="n">
        <x:v>500</x:v>
      </x:c>
      <x:c r="K436" s="21"/>
      <x:c r="L436" s="21" t="n">
        <x:v>398377.96</x:v>
      </x:c>
      <x:c r="M436" s="22" t="n">
        <x:v>41</x:v>
      </x:c>
    </x:row>
    <x:row r="437" ht="30" customHeight="1">
      <x:c r="A437" s="16" t="n">
        <x:v>46254</x:v>
      </x:c>
      <x:c r="B437" s="17" t="str">
        <x:v>4115213075</x:v>
      </x:c>
      <x:c r="C437" s="18" t="str">
        <x:v>BPK*INDUS LUBRICANTES MX</x:v>
      </x:c>
      <x:c r="D437" s="18" t="str"/>
      <x:c r="E437" s="18" t="str"/>
      <x:c r="F437" s="17" t="str"/>
      <x:c r="G437" s="19" t="str"/>
      <x:c r="H437" s="20" t="str"/>
      <x:c r="I437" s="19" t="str">
        <x:v>BPK*INDUS LUBRICANTES MX</x:v>
      </x:c>
      <x:c r="J437" s="21" t="n">
        <x:v>2260.25</x:v>
      </x:c>
      <x:c r="K437" s="21"/>
      <x:c r="L437" s="21" t="n">
        <x:v>396117.71</x:v>
      </x:c>
      <x:c r="M437" s="22" t="n">
        <x:v>42</x:v>
      </x:c>
    </x:row>
    <x:row r="438" ht="30" customHeight="1">
      <x:c r="A438" s="16" t="n">
        <x:v>46254</x:v>
      </x:c>
      <x:c r="B438" s="17" t="str">
        <x:v>4115585466</x:v>
      </x:c>
      <x:c r="C438" s="18" t="str">
        <x:v>DEPOSITO SPEI</x:v>
      </x:c>
      <x:c r="D438" s="18" t="str">
        <x:v>JONATHAN ANDRES NUNEZ TORRES</x:v>
      </x:c>
      <x:c r="E438" s="18" t="str">
        <x:v>BANORTE</x:v>
      </x:c>
      <x:c r="F438" s="17" t="str">
        <x:v>CTA 072040010255906351</x:v>
      </x:c>
      <x:c r="G438" s="19" t="str">
        <x:v>260820 jonathan andres n t M16 L1</x:v>
      </x:c>
      <x:c r="H438" s="20" t="str">
        <x:v>RASTREO 38432P02202608205673784904</x:v>
      </x:c>
      <x:c r="I438" s="19" t="str">
        <x:v>DEPOSITO SPEI | JONATHAN ANDRES NUNEZ TORRES | BANORTE 072040010255906351 | 260820 jonathan andres n t M16 L1 | CLAVE DE RASTREO 38432P02202608205673784904</x:v>
      </x:c>
      <x:c r="J438" s="21"/>
      <x:c r="K438" s="21" t="n">
        <x:v>1500</x:v>
      </x:c>
      <x:c r="L438" s="21" t="n">
        <x:v>397617.71</x:v>
      </x:c>
      <x:c r="M438" s="22" t="n">
        <x:v>42</x:v>
      </x:c>
    </x:row>
    <x:row r="439" ht="30" customHeight="1">
      <x:c r="A439" s="16" t="n">
        <x:v>46254</x:v>
      </x:c>
      <x:c r="B439" s="17" t="str">
        <x:v>8202629306</x:v>
      </x:c>
      <x:c r="C439" s="18" t="str">
        <x:v>TRANSFERENCIA SPEI</x:v>
      </x:c>
      <x:c r="D439" s="18" t="str">
        <x:v>FYMSA BAJA SUR SRL DE CV</x:v>
      </x:c>
      <x:c r="E439" s="18" t="str">
        <x:v>BBVA MEXICO</x:v>
      </x:c>
      <x:c r="F439" s="17" t="str">
        <x:v>CTA 012040001171445392</x:v>
      </x:c>
      <x:c r="G439" s="19" t="str">
        <x:v>20260820 Pago material | 036NAPP20082026293067366 RFC NO DISPONIBLE</x:v>
      </x:c>
      <x:c r="H439" s="20" t="str"/>
      <x:c r="I439" s="19" t="str">
        <x:v>TRANSFERENCIA SPEI | FYMSA BAJA SUR SRL DE CV | BBVA MEXICO 012040001171445392 | 20260820 Pago material | 036NAPP20082026293067366 RFC NO DISPONIBLE</x:v>
      </x:c>
      <x:c r="J439" s="21" t="n">
        <x:v>9020.51</x:v>
      </x:c>
      <x:c r="K439" s="21"/>
      <x:c r="L439" s="21" t="n">
        <x:v>388597.2</x:v>
      </x:c>
      <x:c r="M439" s="22" t="n">
        <x:v>42</x:v>
      </x:c>
    </x:row>
    <x:row r="440" ht="30" customHeight="1">
      <x:c r="A440" s="16" t="n">
        <x:v>46254</x:v>
      </x:c>
      <x:c r="B440" s="17" t="str">
        <x:v>4115674924</x:v>
      </x:c>
      <x:c r="C440" s="18" t="str">
        <x:v>DEPOSITO SPEI</x:v>
      </x:c>
      <x:c r="D440" s="18" t="str">
        <x:v>MIGUEL ANGEL HERRERA ARREOLA</x:v>
      </x:c>
      <x:c r="E440" s="18" t="str">
        <x:v>BBVA MEXICO</x:v>
      </x:c>
      <x:c r="F440" s="17" t="str">
        <x:v>CTA 012040015460528770</x:v>
      </x:c>
      <x:c r="G440" s="19" t="str">
        <x:v>3107260 PV M15 L3</x:v>
      </x:c>
      <x:c r="H440" s="20" t="str">
        <x:v>RASTREO MBAN01002608200088437043</x:v>
      </x:c>
      <x:c r="I440" s="19" t="str">
        <x:v>DEPOSITO SPEI | MIGUEL ANGEL HERRERA ARREOLA | BBVA MEXICO 012040015460528770 | 3107260 PV M15 L3 | CLAVE DE RASTREO MBAN01002608200088437043</x:v>
      </x:c>
      <x:c r="J440" s="21"/>
      <x:c r="K440" s="21" t="n">
        <x:v>1500</x:v>
      </x:c>
      <x:c r="L440" s="21" t="n">
        <x:v>390097.2</x:v>
      </x:c>
      <x:c r="M440" s="22" t="n">
        <x:v>42</x:v>
      </x:c>
    </x:row>
    <x:row r="441" ht="30" customHeight="1">
      <x:c r="A441" s="16" t="n">
        <x:v>46254</x:v>
      </x:c>
      <x:c r="B441" s="17" t="str">
        <x:v>4115679037</x:v>
      </x:c>
      <x:c r="C441" s="18" t="str">
        <x:v>DEPOSITO SPEI</x:v>
      </x:c>
      <x:c r="D441" s="18" t="str">
        <x:v>MIGUEL ANGEL HERRERA ARREOLA</x:v>
      </x:c>
      <x:c r="E441" s="18" t="str">
        <x:v>BBVA MEXICO</x:v>
      </x:c>
      <x:c r="F441" s="17" t="str">
        <x:v>CTA 012040015460528770</x:v>
      </x:c>
      <x:c r="G441" s="19" t="str">
        <x:v>3107260 PV M31 L1</x:v>
      </x:c>
      <x:c r="H441" s="20" t="str">
        <x:v>RASTREO MBAN01002608200088452474</x:v>
      </x:c>
      <x:c r="I441" s="19" t="str">
        <x:v>DEPOSITO SPEI | MIGUEL ANGEL HERRERA ARREOLA | BBVA MEXICO 012040015460528770 | 3107260 PV M31 L1 | CLAVE DE RASTREO MBAN01002608200088452474</x:v>
      </x:c>
      <x:c r="J441" s="21"/>
      <x:c r="K441" s="21" t="n">
        <x:v>1500</x:v>
      </x:c>
      <x:c r="L441" s="21" t="n">
        <x:v>391597.2</x:v>
      </x:c>
      <x:c r="M441" s="22" t="n">
        <x:v>42</x:v>
      </x:c>
    </x:row>
    <x:row r="442" ht="30" customHeight="1">
      <x:c r="A442" s="16" t="n">
        <x:v>46254</x:v>
      </x:c>
      <x:c r="B442" s="17" t="str">
        <x:v>4115694808</x:v>
      </x:c>
      <x:c r="C442" s="18" t="str">
        <x:v>DEPOSITO SPEI</x:v>
      </x:c>
      <x:c r="D442" s="18" t="str">
        <x:v>SOLIS PEREZ CATALINA</x:v>
      </x:c>
      <x:c r="E442" s="18" t="str">
        <x:v>AZTECA</x:v>
      </x:c>
      <x:c r="F442" s="17" t="str">
        <x:v>CTA 127040013610257885</x:v>
      </x:c>
      <x:c r="G442" s="19" t="str">
        <x:v>1059321 lote 33 mza 24 Catalina solis perez</x:v>
      </x:c>
      <x:c r="H442" s="20" t="str">
        <x:v>RASTREO 260820010748272453I</x:v>
      </x:c>
      <x:c r="I442" s="19" t="str">
        <x:v>DEPOSITO SPEI | SOLIS PEREZ CATALINA | AZTECA 127040013610257885 | 1059321 lote 33 mza 24 Catalina solis perez | CLAVE DE RASTREO 260820010748272453I</x:v>
      </x:c>
      <x:c r="J442" s="21"/>
      <x:c r="K442" s="21" t="n">
        <x:v>2389</x:v>
      </x:c>
      <x:c r="L442" s="21" t="n">
        <x:v>393986.2</x:v>
      </x:c>
      <x:c r="M442" s="22" t="n">
        <x:v>42</x:v>
      </x:c>
    </x:row>
    <x:row r="443" ht="30" customHeight="1">
      <x:c r="A443" s="16" t="n">
        <x:v>46254</x:v>
      </x:c>
      <x:c r="B443" s="17" t="str">
        <x:v>4115696664</x:v>
      </x:c>
      <x:c r="C443" s="18" t="str">
        <x:v>DEPOSITO SPEI</x:v>
      </x:c>
      <x:c r="D443" s="18" t="str">
        <x:v>SOLIS PEREZ CATALINA</x:v>
      </x:c>
      <x:c r="E443" s="18" t="str">
        <x:v>AZTECA</x:v>
      </x:c>
      <x:c r="F443" s="17" t="str">
        <x:v>CTA 127040013610257885</x:v>
      </x:c>
      <x:c r="G443" s="19" t="str">
        <x:v>1059321 lote 9 mza 8 Catalina solis perez</x:v>
      </x:c>
      <x:c r="H443" s="20" t="str">
        <x:v>RASTREO 260820010748292145I</x:v>
      </x:c>
      <x:c r="I443" s="19" t="str">
        <x:v>DEPOSITO SPEI | SOLIS PEREZ CATALINA | AZTECA 127040013610257885 | 1059321 lote 9 mza 8 Catalina solis perez | CLAVE DE RASTREO 260820010748292145I</x:v>
      </x:c>
      <x:c r="J443" s="21"/>
      <x:c r="K443" s="21" t="n">
        <x:v>2389</x:v>
      </x:c>
      <x:c r="L443" s="21" t="n">
        <x:v>396375.2</x:v>
      </x:c>
      <x:c r="M443" s="22" t="n">
        <x:v>42</x:v>
      </x:c>
    </x:row>
    <x:row r="444" ht="30" customHeight="1">
      <x:c r="A444" s="16" t="n">
        <x:v>46254</x:v>
      </x:c>
      <x:c r="B444" s="17" t="str">
        <x:v>4115732477</x:v>
      </x:c>
      <x:c r="C444" s="18" t="str">
        <x:v>DEPOSITO SPEI</x:v>
      </x:c>
      <x:c r="D444" s="18" t="str">
        <x:v>JESUS ABRAHAM CASTRO LEYVA</x:v>
      </x:c>
      <x:c r="E444" s="18" t="str">
        <x:v>BANCOPPEL</x:v>
      </x:c>
      <x:c r="F444" s="17" t="str">
        <x:v>CTA 137040103879802913</x:v>
      </x:c>
      <x:c r="G444" s="19" t="str">
        <x:v>2008260 jesus abraham castro leyva M24 L43</x:v>
      </x:c>
      <x:c r="H444" s="20" t="str">
        <x:v>RASTREO 50112913TRANSBPI07279865</x:v>
      </x:c>
      <x:c r="I444" s="19" t="str">
        <x:v>DEPOSITO SPEI | JESUS ABRAHAM CASTRO LEYVA | BANCOPPEL 137040103879802913 | 2008260 jesus abraham castro leyva M24 L43 | CLAVE DE RASTREO 50112913TRANSBPI07279865</x:v>
      </x:c>
      <x:c r="J444" s="21"/>
      <x:c r="K444" s="21" t="n">
        <x:v>17664</x:v>
      </x:c>
      <x:c r="L444" s="21" t="n">
        <x:v>414039.2</x:v>
      </x:c>
      <x:c r="M444" s="22" t="n">
        <x:v>42</x:v>
      </x:c>
    </x:row>
    <x:row r="445" ht="30" customHeight="1">
      <x:c r="A445" s="16" t="n">
        <x:v>46254</x:v>
      </x:c>
      <x:c r="B445" s="17" t="str">
        <x:v>4115734545</x:v>
      </x:c>
      <x:c r="C445" s="18" t="str">
        <x:v>DEPOSITO SPEI</x:v>
      </x:c>
      <x:c r="D445" s="18" t="str">
        <x:v>JESUS ABRAHAM CASTRO LEYVA</x:v>
      </x:c>
      <x:c r="E445" s="18" t="str">
        <x:v>BANCOPPEL</x:v>
      </x:c>
      <x:c r="F445" s="17" t="str">
        <x:v>CTA 137040103879802913</x:v>
      </x:c>
      <x:c r="G445" s="19" t="str">
        <x:v>2008261 jesus abraham castro leyva M24 L42</x:v>
      </x:c>
      <x:c r="H445" s="20" t="str">
        <x:v>RASTREO 50112913TRANSBPI07302875</x:v>
      </x:c>
      <x:c r="I445" s="19" t="str">
        <x:v>DEPOSITO SPEI | JESUS ABRAHAM CASTRO LEYVA | BANCOPPEL 137040103879802913 | 2008261 jesus abraham castro leyva M24 L42 | CLAVE DE RASTREO 50112913TRANSBPI07302875</x:v>
      </x:c>
      <x:c r="J445" s="21"/>
      <x:c r="K445" s="21" t="n">
        <x:v>17664</x:v>
      </x:c>
      <x:c r="L445" s="21" t="n">
        <x:v>431703.2</x:v>
      </x:c>
      <x:c r="M445" s="22" t="n">
        <x:v>42</x:v>
      </x:c>
    </x:row>
    <x:row r="446" ht="30" customHeight="1">
      <x:c r="A446" s="16" t="n">
        <x:v>46254</x:v>
      </x:c>
      <x:c r="B446" s="17" t="str">
        <x:v>4115736723</x:v>
      </x:c>
      <x:c r="C446" s="18" t="str">
        <x:v>DEPOSITO SPEI</x:v>
      </x:c>
      <x:c r="D446" s="18" t="str">
        <x:v>JESUS ABRAHAM CASTRO LEYVA</x:v>
      </x:c>
      <x:c r="E446" s="18" t="str">
        <x:v>BANCOPPEL</x:v>
      </x:c>
      <x:c r="F446" s="17" t="str">
        <x:v>CTA 137040103879802913</x:v>
      </x:c>
      <x:c r="G446" s="19" t="str">
        <x:v>2008262 jesus abraham castro leyva M24 L6</x:v>
      </x:c>
      <x:c r="H446" s="20" t="str">
        <x:v>RASTREO 50112913TRANSBPI07325615</x:v>
      </x:c>
      <x:c r="I446" s="19" t="str">
        <x:v>DEPOSITO SPEI | JESUS ABRAHAM CASTRO LEYVA | BANCOPPEL 137040103879802913 | 2008262 jesus abraham castro leyva M24 L6 | CLAVE DE RASTREO 50112913TRANSBPI07325615</x:v>
      </x:c>
      <x:c r="J446" s="21"/>
      <x:c r="K446" s="21" t="n">
        <x:v>17664</x:v>
      </x:c>
      <x:c r="L446" s="21" t="n">
        <x:v>449367.2</x:v>
      </x:c>
      <x:c r="M446" s="22" t="n">
        <x:v>42</x:v>
      </x:c>
    </x:row>
    <x:row r="447" ht="30" customHeight="1">
      <x:c r="A447" s="16" t="n">
        <x:v>46254</x:v>
      </x:c>
      <x:c r="B447" s="17" t="str">
        <x:v>4115757717</x:v>
      </x:c>
      <x:c r="C447" s="18" t="str">
        <x:v>DEPOSITO SPEI</x:v>
      </x:c>
      <x:c r="D447" s="18" t="str">
        <x:v>MARTIN HERNANDEZ ALVAREZ</x:v>
      </x:c>
      <x:c r="E447" s="18" t="str">
        <x:v>BBVA MEXICO</x:v>
      </x:c>
      <x:c r="F447" s="17" t="str">
        <x:v>CTA 012041015451895343</x:v>
      </x:c>
      <x:c r="G447" s="19" t="str">
        <x:v>3107260 mza21lote35martinhernandezalvarez</x:v>
      </x:c>
      <x:c r="H447" s="20" t="str">
        <x:v>RASTREO MBAN01002608200088745682</x:v>
      </x:c>
      <x:c r="I447" s="19" t="str">
        <x:v>DEPOSITO SPEI | MARTIN HERNANDEZ ALVAREZ | BBVA MEXICO 012041015451895343 | 3107260 mza21lote35martinhernandezalvarez | CLAVE DE RASTREO MBAN01002608200088745682</x:v>
      </x:c>
      <x:c r="J447" s="21"/>
      <x:c r="K447" s="21" t="n">
        <x:v>1500</x:v>
      </x:c>
      <x:c r="L447" s="21" t="n">
        <x:v>450867.2</x:v>
      </x:c>
      <x:c r="M447" s="22" t="n">
        <x:v>43</x:v>
      </x:c>
    </x:row>
    <x:row r="448" ht="30" customHeight="1">
      <x:c r="A448" s="16" t="n">
        <x:v>46254</x:v>
      </x:c>
      <x:c r="B448" s="17" t="str">
        <x:v>4115763294</x:v>
      </x:c>
      <x:c r="C448" s="18" t="str">
        <x:v>DEPOSITO SPEI</x:v>
      </x:c>
      <x:c r="D448" s="18" t="str">
        <x:v>MARTIN HERNANDEZ ALVAREZ</x:v>
      </x:c>
      <x:c r="E448" s="18" t="str">
        <x:v>BBVA MEXICO</x:v>
      </x:c>
      <x:c r="F448" s="17" t="str">
        <x:v>CTA 012041015451895343</x:v>
      </x:c>
      <x:c r="G448" s="19" t="str">
        <x:v>3107260 mza21lote36martinhernandezalvarez</x:v>
      </x:c>
      <x:c r="H448" s="20" t="str">
        <x:v>RASTREO MBAN01002608200088762469</x:v>
      </x:c>
      <x:c r="I448" s="19" t="str">
        <x:v>DEPOSITO SPEI | MARTIN HERNANDEZ ALVAREZ | BBVA MEXICO 012041015451895343 | 3107260 mza21lote36martinhernandezalvarez | CLAVE DE RASTREO MBAN01002608200088762469</x:v>
      </x:c>
      <x:c r="J448" s="21"/>
      <x:c r="K448" s="21" t="n">
        <x:v>1500</x:v>
      </x:c>
      <x:c r="L448" s="21" t="n">
        <x:v>452367.2</x:v>
      </x:c>
      <x:c r="M448" s="22" t="n">
        <x:v>43</x:v>
      </x:c>
    </x:row>
    <x:row r="449" ht="30" customHeight="1">
      <x:c r="A449" s="16" t="n">
        <x:v>46254</x:v>
      </x:c>
      <x:c r="B449" s="17" t="str">
        <x:v>4115901675</x:v>
      </x:c>
      <x:c r="C449" s="18" t="str">
        <x:v>GAS LAS GARZAS MX</x:v>
      </x:c>
      <x:c r="D449" s="18" t="str"/>
      <x:c r="E449" s="18" t="str"/>
      <x:c r="F449" s="17" t="str"/>
      <x:c r="G449" s="19" t="str"/>
      <x:c r="H449" s="20" t="str"/>
      <x:c r="I449" s="19" t="str">
        <x:v>GAS LAS GARZAS MX</x:v>
      </x:c>
      <x:c r="J449" s="21" t="n">
        <x:v>1118.44</x:v>
      </x:c>
      <x:c r="K449" s="21"/>
      <x:c r="L449" s="21" t="n">
        <x:v>451248.76</x:v>
      </x:c>
      <x:c r="M449" s="22" t="n">
        <x:v>43</x:v>
      </x:c>
    </x:row>
    <x:row r="450" ht="30" customHeight="1">
      <x:c r="A450" s="16" t="n">
        <x:v>46254</x:v>
      </x:c>
      <x:c r="B450" s="17" t="str">
        <x:v>4115971344</x:v>
      </x:c>
      <x:c r="C450" s="18" t="str">
        <x:v>DEPOSITO SPEI</x:v>
      </x:c>
      <x:c r="D450" s="18" t="str">
        <x:v>ROBERTO CARLOS SOSA SALINAS</x:v>
      </x:c>
      <x:c r="E450" s="18" t="str">
        <x:v>BANCOPPEL</x:v>
      </x:c>
      <x:c r="F450" s="17" t="str">
        <x:v>CTA 137040103990260463</x:v>
      </x:c>
      <x:c r="G450" s="19" t="str">
        <x:v>2008260 MaEugeniaHernandezRodriguez Manz26Lot29</x:v>
      </x:c>
      <x:c r="H450" s="20" t="str">
        <x:v>RASTREO 50110463TRANSBPI09348973</x:v>
      </x:c>
      <x:c r="I450" s="19" t="str">
        <x:v>DEPOSITO SPEI | ROBERTO CARLOS SOSA SALINAS | BANCOPPEL 137040103990260463 | 2008260 MaEugeniaHernandezRodriguez Manz26Lot29 | CLAVE DE RASTREO 50110463TRANSBPI09348973</x:v>
      </x:c>
      <x:c r="J450" s="21"/>
      <x:c r="K450" s="21" t="n">
        <x:v>1500</x:v>
      </x:c>
      <x:c r="L450" s="21" t="n">
        <x:v>452748.76</x:v>
      </x:c>
      <x:c r="M450" s="22" t="n">
        <x:v>43</x:v>
      </x:c>
    </x:row>
    <x:row r="451" ht="30" customHeight="1">
      <x:c r="A451" s="16" t="n">
        <x:v>46254</x:v>
      </x:c>
      <x:c r="B451" s="17" t="str">
        <x:v>4116038440</x:v>
      </x:c>
      <x:c r="C451" s="18" t="str">
        <x:v>DEPOSITO SPEI</x:v>
      </x:c>
      <x:c r="D451" s="18" t="str">
        <x:v>LIZBETH LUCIA CATANEO FLORES</x:v>
      </x:c>
      <x:c r="E451" s="18" t="str">
        <x:v>SANTANDER</x:v>
      </x:c>
      <x:c r="F451" s="17" t="str">
        <x:v>CTA 014041567852006957</x:v>
      </x:c>
      <x:c r="G451" s="19" t="str">
        <x:v>200826 PAGO14 M23L2 LIZBETH CATANEO</x:v>
      </x:c>
      <x:c r="H451" s="20" t="str">
        <x:v>RASTREO 2026082040014BMOVP000412657550</x:v>
      </x:c>
      <x:c r="I451" s="19" t="str">
        <x:v>DEPOSITO SPEI | LIZBETH LUCIA CATANEO FLORES | SANTANDER 014041567852006957 | 200826 PAGO14 M23L2 LIZBETH CATANEO | CLAVE DE RASTREO 2026082040014BMOVP000412657550</x:v>
      </x:c>
      <x:c r="J451" s="21"/>
      <x:c r="K451" s="21" t="n">
        <x:v>1500</x:v>
      </x:c>
      <x:c r="L451" s="21" t="n">
        <x:v>454248.76</x:v>
      </x:c>
      <x:c r="M451" s="22" t="n">
        <x:v>43</x:v>
      </x:c>
    </x:row>
    <x:row r="452" ht="30" customHeight="1">
      <x:c r="A452" s="16" t="n">
        <x:v>46254</x:v>
      </x:c>
      <x:c r="B452" s="17" t="str">
        <x:v>4116121096</x:v>
      </x:c>
      <x:c r="C452" s="18" t="str">
        <x:v>DEPOSITO SPEI</x:v>
      </x:c>
      <x:c r="D452" s="18" t="str">
        <x:v>RINCON MERCADO CLAUDIA ESTHER</x:v>
      </x:c>
      <x:c r="E452" s="18" t="str">
        <x:v>AZTECA</x:v>
      </x:c>
      <x:c r="F452" s="17" t="str">
        <x:v>CTA 127691001286407297</x:v>
      </x:c>
      <x:c r="G452" s="19" t="str">
        <x:v>1059321 Claudia E Rincon Mercado manzana9 lote7</x:v>
      </x:c>
      <x:c r="H452" s="20" t="str">
        <x:v>RASTREO 260820010748968113I</x:v>
      </x:c>
      <x:c r="I452" s="19" t="str">
        <x:v>DEPOSITO SPEI | RINCON MERCADO CLAUDIA ESTHER | AZTECA 127691001286407297 | 1059321 Claudia E Rincon Mercado manzana9 lote7 | CLAVE DE RASTREO 260820010748968113I</x:v>
      </x:c>
      <x:c r="J452" s="21"/>
      <x:c r="K452" s="21" t="n">
        <x:v>10667</x:v>
      </x:c>
      <x:c r="L452" s="21" t="n">
        <x:v>464915.76</x:v>
      </x:c>
      <x:c r="M452" s="22" t="n">
        <x:v>43</x:v>
      </x:c>
    </x:row>
    <x:row r="453" ht="30" customHeight="1">
      <x:c r="A453" s="16" t="n">
        <x:v>46254</x:v>
      </x:c>
      <x:c r="B453" s="17" t="str">
        <x:v>4116143904</x:v>
      </x:c>
      <x:c r="C453" s="18" t="str">
        <x:v>DEPOSITO SPEI</x:v>
      </x:c>
      <x:c r="D453" s="18" t="str">
        <x:v>RINCON MERCADO CLAUDIA ESTHER</x:v>
      </x:c>
      <x:c r="E453" s="18" t="str">
        <x:v>AZTECA</x:v>
      </x:c>
      <x:c r="F453" s="17" t="str">
        <x:v>CTA 127691001286407297</x:v>
      </x:c>
      <x:c r="G453" s="19" t="str">
        <x:v>1059321 Claudia E Rincon Mercado manzana9 lote7</x:v>
      </x:c>
      <x:c r="H453" s="20" t="str">
        <x:v>RASTREO 260820010751034701I</x:v>
      </x:c>
      <x:c r="I453" s="19" t="str">
        <x:v>DEPOSITO SPEI | RINCON MERCADO CLAUDIA ESTHER | AZTECA 127691001286407297 | 1059321 Claudia E Rincon Mercado manzana9 lote7 | CLAVE DE RASTREO 260820010751034701I</x:v>
      </x:c>
      <x:c r="J453" s="21"/>
      <x:c r="K453" s="21" t="n">
        <x:v>1500</x:v>
      </x:c>
      <x:c r="L453" s="21" t="n">
        <x:v>466415.76</x:v>
      </x:c>
      <x:c r="M453" s="22" t="n">
        <x:v>43</x:v>
      </x:c>
    </x:row>
    <x:row r="454" ht="30" customHeight="1">
      <x:c r="A454" s="16" t="n">
        <x:v>46254</x:v>
      </x:c>
      <x:c r="B454" s="17" t="str">
        <x:v>4116169528</x:v>
      </x:c>
      <x:c r="C454" s="18" t="str">
        <x:v>DEPOSITO SPEI</x:v>
      </x:c>
      <x:c r="D454" s="18" t="str">
        <x:v>LUIS ALFONSO MARQUEZ VALENZUELA</x:v>
      </x:c>
      <x:c r="E454" s="18" t="str">
        <x:v>BANCOPPEL</x:v>
      </x:c>
      <x:c r="F454" s="17" t="str">
        <x:v>CTA 137040104263477209</x:v>
      </x:c>
      <x:c r="G454" s="19" t="str">
        <x:v>2008260 terrenos 13y14 m10</x:v>
      </x:c>
      <x:c r="H454" s="20" t="str">
        <x:v>RASTREO 50117209TRANSBPI10875170</x:v>
      </x:c>
      <x:c r="I454" s="19" t="str">
        <x:v>DEPOSITO SPEI | LUIS ALFONSO MARQUEZ VALENZUELA | BANCOPPEL 137040104263477209 | 2008260 terrenos 13y14 m10 | CLAVE DE RASTREO 50117209TRANSBPI10875170</x:v>
      </x:c>
      <x:c r="J454" s="21"/>
      <x:c r="K454" s="21" t="n">
        <x:v>3000</x:v>
      </x:c>
      <x:c r="L454" s="21" t="n">
        <x:v>469415.76</x:v>
      </x:c>
      <x:c r="M454" s="22" t="n">
        <x:v>43</x:v>
      </x:c>
    </x:row>
    <x:row r="455" ht="30" customHeight="1">
      <x:c r="A455" s="16" t="n">
        <x:v>46254</x:v>
      </x:c>
      <x:c r="B455" s="17" t="str">
        <x:v>4116188781</x:v>
      </x:c>
      <x:c r="C455" s="18" t="str">
        <x:v>DEPOSITO SPEI</x:v>
      </x:c>
      <x:c r="D455" s="18" t="str">
        <x:v>JESUS ANTONIO FAUSTO ANGULO</x:v>
      </x:c>
      <x:c r="E455" s="18" t="str">
        <x:v>BBVA MEXICO</x:v>
      </x:c>
      <x:c r="F455" s="17" t="str">
        <x:v>CTA 012040015671997271</x:v>
      </x:c>
      <x:c r="G455" s="19" t="str">
        <x:v>3107260 jesus antonio Fausto Angulo m7L4</x:v>
      </x:c>
      <x:c r="H455" s="20" t="str">
        <x:v>RASTREO MBAN01002608200090043528</x:v>
      </x:c>
      <x:c r="I455" s="19" t="str">
        <x:v>DEPOSITO SPEI | JESUS ANTONIO FAUSTO ANGULO | BBVA MEXICO 012040015671997271 | 3107260 jesus antonio Fausto Angulo m7L4 | CLAVE DE RASTREO MBAN01002608200090043528</x:v>
      </x:c>
      <x:c r="J455" s="21"/>
      <x:c r="K455" s="21" t="n">
        <x:v>1500</x:v>
      </x:c>
      <x:c r="L455" s="21" t="n">
        <x:v>470915.76</x:v>
      </x:c>
      <x:c r="M455" s="22" t="n">
        <x:v>43</x:v>
      </x:c>
    </x:row>
    <x:row r="456" ht="30" customHeight="1">
      <x:c r="A456" s="16" t="n">
        <x:v>46254</x:v>
      </x:c>
      <x:c r="B456" s="17" t="str">
        <x:v>4116194270</x:v>
      </x:c>
      <x:c r="C456" s="18" t="str">
        <x:v>DEPOSITO SPEI</x:v>
      </x:c>
      <x:c r="D456" s="18" t="str">
        <x:v>JOSE OCTAVIO FLORES ORTEGA</x:v>
      </x:c>
      <x:c r="E456" s="18" t="str">
        <x:v>BANCOPPEL</x:v>
      </x:c>
      <x:c r="F456" s="17" t="str">
        <x:v>CTA 137061210050585358</x:v>
      </x:c>
      <x:c r="G456" s="19" t="str">
        <x:v>2008260 Transf. a palo verde</x:v>
      </x:c>
      <x:c r="H456" s="20" t="str">
        <x:v>RASTREO 50115358TRANSBPI11156137</x:v>
      </x:c>
      <x:c r="I456" s="19" t="str">
        <x:v>DEPOSITO SPEI | JOSE OCTAVIO FLORES ORTEGA | BANCOPPEL 137061210050585358 | 2008260 Transf. a palo verde | CLAVE DE RASTREO 50115358TRANSBPI11156137</x:v>
      </x:c>
      <x:c r="J456" s="21"/>
      <x:c r="K456" s="21" t="n">
        <x:v>9000</x:v>
      </x:c>
      <x:c r="L456" s="21" t="n">
        <x:v>479915.76</x:v>
      </x:c>
      <x:c r="M456" s="22" t="n">
        <x:v>43</x:v>
      </x:c>
    </x:row>
    <x:row r="457" ht="30" customHeight="1">
      <x:c r="A457" s="16" t="n">
        <x:v>46254</x:v>
      </x:c>
      <x:c r="B457" s="17" t="str">
        <x:v>4116232711</x:v>
      </x:c>
      <x:c r="C457" s="18" t="str">
        <x:v>DEPOSITO SPEI</x:v>
      </x:c>
      <x:c r="D457" s="18" t="str">
        <x:v>OSCAR EZEQUIEL LEYVA ORTEGA</x:v>
      </x:c>
      <x:c r="E457" s="18" t="str">
        <x:v>BANORTE</x:v>
      </x:c>
      <x:c r="F457" s="17" t="str">
        <x:v>CTA 072047012926337360</x:v>
      </x:c>
      <x:c r="G457" s="19" t="str">
        <x:v>260820 Manzana 22 lote 16</x:v>
      </x:c>
      <x:c r="H457" s="20" t="str">
        <x:v>RASTREO 38432P03202608205675416775</x:v>
      </x:c>
      <x:c r="I457" s="19" t="str">
        <x:v>DEPOSITO SPEI | OSCAR EZEQUIEL LEYVA ORTEGA | BANORTE 072047012926337360 | 260820 Manzana 22 lote 16 | CLAVE DE RASTREO 38432P03202608205675416775</x:v>
      </x:c>
      <x:c r="J457" s="21"/>
      <x:c r="K457" s="21" t="n">
        <x:v>1500</x:v>
      </x:c>
      <x:c r="L457" s="21" t="n">
        <x:v>481415.76</x:v>
      </x:c>
      <x:c r="M457" s="22" t="n">
        <x:v>43</x:v>
      </x:c>
    </x:row>
    <x:row r="458" ht="30" customHeight="1">
      <x:c r="A458" s="16" t="n">
        <x:v>46254</x:v>
      </x:c>
      <x:c r="B458" s="17" t="str">
        <x:v>4116233635</x:v>
      </x:c>
      <x:c r="C458" s="18" t="str">
        <x:v>DEPOSITO SPEI</x:v>
      </x:c>
      <x:c r="D458" s="18" t="str">
        <x:v>OSCAR EZEQUIEL LEYVA ORTEGA</x:v>
      </x:c>
      <x:c r="E458" s="18" t="str">
        <x:v>BANORTE</x:v>
      </x:c>
      <x:c r="F458" s="17" t="str">
        <x:v>CTA 072047012926337360</x:v>
      </x:c>
      <x:c r="G458" s="19" t="str">
        <x:v>260820 Manzana 22 lote 17</x:v>
      </x:c>
      <x:c r="H458" s="20" t="str">
        <x:v>RASTREO 38432P06202608205675419723</x:v>
      </x:c>
      <x:c r="I458" s="19" t="str">
        <x:v>DEPOSITO SPEI | OSCAR EZEQUIEL LEYVA ORTEGA | BANORTE 072047012926337360 | 260820 Manzana 22 lote 17 | CLAVE DE RASTREO 38432P06202608205675419723</x:v>
      </x:c>
      <x:c r="J458" s="21"/>
      <x:c r="K458" s="21" t="n">
        <x:v>1500</x:v>
      </x:c>
      <x:c r="L458" s="21" t="n">
        <x:v>482915.76</x:v>
      </x:c>
      <x:c r="M458" s="22" t="n">
        <x:v>44</x:v>
      </x:c>
    </x:row>
    <x:row r="459" ht="30" customHeight="1">
      <x:c r="A459" s="16" t="n">
        <x:v>46254</x:v>
      </x:c>
      <x:c r="B459" s="17" t="str">
        <x:v>4116234637</x:v>
      </x:c>
      <x:c r="C459" s="18" t="str">
        <x:v>DEPOSITO SPEI</x:v>
      </x:c>
      <x:c r="D459" s="18" t="str">
        <x:v>OSCAR EZEQUIEL LEYVA ORTEGA</x:v>
      </x:c>
      <x:c r="E459" s="18" t="str">
        <x:v>BANORTE</x:v>
      </x:c>
      <x:c r="F459" s="17" t="str">
        <x:v>CTA 072047012926337360</x:v>
      </x:c>
      <x:c r="G459" s="19" t="str">
        <x:v>260820 Manzana 22 lote 18</x:v>
      </x:c>
      <x:c r="H459" s="20" t="str">
        <x:v>RASTREO 38432P04202608205675422429</x:v>
      </x:c>
      <x:c r="I459" s="19" t="str">
        <x:v>DEPOSITO SPEI | OSCAR EZEQUIEL LEYVA ORTEGA | BANORTE 072047012926337360 | 260820 Manzana 22 lote 18 | CLAVE DE RASTREO 38432P04202608205675422429</x:v>
      </x:c>
      <x:c r="J459" s="21"/>
      <x:c r="K459" s="21" t="n">
        <x:v>1500</x:v>
      </x:c>
      <x:c r="L459" s="21" t="n">
        <x:v>484415.76</x:v>
      </x:c>
      <x:c r="M459" s="22" t="n">
        <x:v>44</x:v>
      </x:c>
    </x:row>
    <x:row r="460" ht="30" customHeight="1">
      <x:c r="A460" s="16" t="n">
        <x:v>46254</x:v>
      </x:c>
      <x:c r="B460" s="17" t="str">
        <x:v>4116235429</x:v>
      </x:c>
      <x:c r="C460" s="18" t="str">
        <x:v>DEPOSITO SPEI</x:v>
      </x:c>
      <x:c r="D460" s="18" t="str">
        <x:v>OSCAR EZEQUIEL LEYVA ORTEGA</x:v>
      </x:c>
      <x:c r="E460" s="18" t="str">
        <x:v>BANORTE</x:v>
      </x:c>
      <x:c r="F460" s="17" t="str">
        <x:v>CTA 072047012926337360</x:v>
      </x:c>
      <x:c r="G460" s="19" t="str">
        <x:v>260820 Manzana 22 lote 19</x:v>
      </x:c>
      <x:c r="H460" s="20" t="str">
        <x:v>RASTREO 38432P02202608205675424872</x:v>
      </x:c>
      <x:c r="I460" s="19" t="str">
        <x:v>DEPOSITO SPEI | OSCAR EZEQUIEL LEYVA ORTEGA | BANORTE 072047012926337360 | 260820 Manzana 22 lote 19 | CLAVE DE RASTREO 38432P02202608205675424872</x:v>
      </x:c>
      <x:c r="J460" s="21"/>
      <x:c r="K460" s="21" t="n">
        <x:v>1500</x:v>
      </x:c>
      <x:c r="L460" s="21" t="n">
        <x:v>485915.76</x:v>
      </x:c>
      <x:c r="M460" s="22" t="n">
        <x:v>44</x:v>
      </x:c>
    </x:row>
    <x:row r="461" ht="30" customHeight="1">
      <x:c r="A461" s="16" t="n">
        <x:v>46254</x:v>
      </x:c>
      <x:c r="B461" s="17" t="str">
        <x:v>4116253826</x:v>
      </x:c>
      <x:c r="C461" s="18" t="str">
        <x:v>DEPOSITO SPEI</x:v>
      </x:c>
      <x:c r="D461" s="18" t="str">
        <x:v>LETICIA GUADALUPE OJEDA JAIMES</x:v>
      </x:c>
      <x:c r="E461" s="18" t="str">
        <x:v>BBVA MEXICO</x:v>
      </x:c>
      <x:c r="F461" s="17" t="str">
        <x:v>CTA 012180015667313619</x:v>
      </x:c>
      <x:c r="G461" s="19" t="str">
        <x:v>1803260 pago</x:v>
      </x:c>
      <x:c r="H461" s="20" t="str">
        <x:v>RASTREO MBAN01002608200090277103</x:v>
      </x:c>
      <x:c r="I461" s="19" t="str">
        <x:v>DEPOSITO SPEI | LETICIA GUADALUPE OJEDA JAIMES | BBVA MEXICO 012180015667313619 | 1803260 pago | CLAVE DE RASTREO MBAN01002608200090277103</x:v>
      </x:c>
      <x:c r="J461" s="21"/>
      <x:c r="K461" s="21" t="n">
        <x:v>2800</x:v>
      </x:c>
      <x:c r="L461" s="21" t="n">
        <x:v>488715.76</x:v>
      </x:c>
      <x:c r="M461" s="22" t="n">
        <x:v>44</x:v>
      </x:c>
    </x:row>
    <x:row r="462" ht="30" customHeight="1">
      <x:c r="A462" s="16" t="n">
        <x:v>46254</x:v>
      </x:c>
      <x:c r="B462" s="17" t="str">
        <x:v>4116266241</x:v>
      </x:c>
      <x:c r="C462" s="18" t="str">
        <x:v>DEPOSITO SPEI</x:v>
      </x:c>
      <x:c r="D462" s="18" t="str">
        <x:v>VICTOR MANUEL BELTRAN CARRILLO</x:v>
      </x:c>
      <x:c r="E462" s="18" t="str">
        <x:v>NUBANK</x:v>
      </x:c>
      <x:c r="F462" s="17" t="str">
        <x:v>CTA 638180010148339216</x:v>
      </x:c>
      <x:c r="G462" s="19" t="str">
        <x:v>200826 Transferencia</x:v>
      </x:c>
      <x:c r="H462" s="20" t="str">
        <x:v>RASTREO NU3AGU25S3138C596K07H74PHNDA</x:v>
      </x:c>
      <x:c r="I462" s="19" t="str">
        <x:v>DEPOSITO SPEI | VICTOR MANUEL BELTRAN CARRILLO | NUBANK 638180010148339216 | 200826 Transferencia | CLAVE DE RASTREO NU3AGU25S3138C596K07H74PHNDA</x:v>
      </x:c>
      <x:c r="J462" s="21"/>
      <x:c r="K462" s="21" t="n">
        <x:v>2944</x:v>
      </x:c>
      <x:c r="L462" s="21" t="n">
        <x:v>491659.76</x:v>
      </x:c>
      <x:c r="M462" s="22" t="n">
        <x:v>44</x:v>
      </x:c>
    </x:row>
    <x:row r="463" ht="30" customHeight="1">
      <x:c r="A463" s="16" t="n">
        <x:v>46254</x:v>
      </x:c>
      <x:c r="B463" s="17" t="str">
        <x:v>4116360308</x:v>
      </x:c>
      <x:c r="C463" s="18" t="str">
        <x:v>DEPOSITO SPEI</x:v>
      </x:c>
      <x:c r="D463" s="18" t="str">
        <x:v>Jesus Eliana Sanchez Loarca</x:v>
      </x:c>
      <x:c r="E463" s="18" t="str">
        <x:v>SPIN BY OXXO</x:v>
      </x:c>
      <x:c r="F463" s="17" t="str">
        <x:v>CTA 728969000041238623</x:v>
      </x:c>
      <x:c r="G463" s="19" t="str">
        <x:v>3733725 pagolote24mzn24jesuselianasanchezloarcA</x:v>
      </x:c>
      <x:c r="H463" s="20" t="str">
        <x:v>RASTREO SPIN-20260821000322HFH6VT0A</x:v>
      </x:c>
      <x:c r="I463" s="19" t="str">
        <x:v>DEPOSITO SPEI | Jesus Eliana Sanchez Loarca | SPIN BY OXXO 728969000041238623 | 3733725 pagolote24mzn24jesuselianasanchezloarcA | CLAVE DE RASTREO SPIN-20260821000322HFH6VT0A</x:v>
      </x:c>
      <x:c r="J463" s="21"/>
      <x:c r="K463" s="21" t="n">
        <x:v>1500</x:v>
      </x:c>
      <x:c r="L463" s="21" t="n">
        <x:v>493159.76</x:v>
      </x:c>
      <x:c r="M463" s="22" t="n">
        <x:v>44</x:v>
      </x:c>
    </x:row>
    <x:row r="464" ht="30" customHeight="1">
      <x:c r="A464" s="16" t="n">
        <x:v>46254</x:v>
      </x:c>
      <x:c r="B464" s="17" t="str">
        <x:v>4116364465</x:v>
      </x:c>
      <x:c r="C464" s="18" t="str">
        <x:v>DEPOSITO SPEI</x:v>
      </x:c>
      <x:c r="D464" s="18" t="str">
        <x:v>JOSE OTNIEL LOPEZ CASTRO</x:v>
      </x:c>
      <x:c r="E464" s="18" t="str">
        <x:v>BBVA MEXICO</x:v>
      </x:c>
      <x:c r="F464" s="17" t="str">
        <x:v>CTA 012040015187950401</x:v>
      </x:c>
      <x:c r="G464" s="19" t="str">
        <x:v>3107260 Jose Otniel Lopez Castro M3 L5</x:v>
      </x:c>
      <x:c r="H464" s="20" t="str">
        <x:v>RASTREO MBAN01002608210090833399</x:v>
      </x:c>
      <x:c r="I464" s="19" t="str">
        <x:v>DEPOSITO SPEI | JOSE OTNIEL LOPEZ CASTRO | BBVA MEXICO 012040015187950401 | 3107260 Jose Otniel Lopez Castro M3 L5 | CLAVE DE RASTREO MBAN01002608210090833399</x:v>
      </x:c>
      <x:c r="J464" s="21"/>
      <x:c r="K464" s="21" t="n">
        <x:v>1600</x:v>
      </x:c>
      <x:c r="L464" s="21" t="n">
        <x:v>494759.76</x:v>
      </x:c>
      <x:c r="M464" s="22" t="n">
        <x:v>44</x:v>
      </x:c>
    </x:row>
    <x:row r="465" ht="30" customHeight="1">
      <x:c r="A465" s="16" t="n">
        <x:v>46254</x:v>
      </x:c>
      <x:c r="B465" s="17" t="str">
        <x:v>4116366582</x:v>
      </x:c>
      <x:c r="C465" s="18" t="str">
        <x:v>DEPOSITO SPEI</x:v>
      </x:c>
      <x:c r="D465" s="18" t="str">
        <x:v>JOSE OTNIEL LOPEZ CASTRO</x:v>
      </x:c>
      <x:c r="E465" s="18" t="str">
        <x:v>BBVA MEXICO</x:v>
      </x:c>
      <x:c r="F465" s="17" t="str">
        <x:v>CTA 012040015187950401</x:v>
      </x:c>
      <x:c r="G465" s="19" t="str">
        <x:v>3107260 Jose Otniel Lopez Castro M3 L6</x:v>
      </x:c>
      <x:c r="H465" s="20" t="str">
        <x:v>RASTREO MBAN01002608210090850621</x:v>
      </x:c>
      <x:c r="I465" s="19" t="str">
        <x:v>DEPOSITO SPEI | JOSE OTNIEL LOPEZ CASTRO | BBVA MEXICO 012040015187950401 | 3107260 Jose Otniel Lopez Castro M3 L6 | CLAVE DE RASTREO MBAN01002608210090850621</x:v>
      </x:c>
      <x:c r="J465" s="21"/>
      <x:c r="K465" s="21" t="n">
        <x:v>1600</x:v>
      </x:c>
      <x:c r="L465" s="21" t="n">
        <x:v>496359.76</x:v>
      </x:c>
      <x:c r="M465" s="22" t="n">
        <x:v>44</x:v>
      </x:c>
    </x:row>
    <x:row r="466" ht="30" customHeight="1">
      <x:c r="A466" s="16" t="n">
        <x:v>46254</x:v>
      </x:c>
      <x:c r="B466" s="17" t="str">
        <x:v>4116397774</x:v>
      </x:c>
      <x:c r="C466" s="18" t="str">
        <x:v>DEPOSITO SPEI</x:v>
      </x:c>
      <x:c r="D466" s="18" t="str">
        <x:v>ISABEL CRISTINA MARQUEZ ALVAREZ</x:v>
      </x:c>
      <x:c r="E466" s="18" t="str">
        <x:v>SANTANDER</x:v>
      </x:c>
      <x:c r="F466" s="17" t="str">
        <x:v>CTA 014041566591417565</x:v>
      </x:c>
      <x:c r="G466" s="19" t="str">
        <x:v>9825595 ISABEL CRISTINA MARQUEZ ALVAREZ M26 L17</x:v>
      </x:c>
      <x:c r="H466" s="20" t="str">
        <x:v>RASTREO 2026082040014BMOVP000423497070</x:v>
      </x:c>
      <x:c r="I466" s="19" t="str">
        <x:v>DEPOSITO SPEI | ISABEL CRISTINA MARQUEZ ALVAREZ | SANTANDER 014041566591417565 | 9825595 ISABEL CRISTINA MARQUEZ ALVAREZ M26 L17 | CLAVE DE RASTREO 2026082040014BMOVP000423497070</x:v>
      </x:c>
      <x:c r="J466" s="21"/>
      <x:c r="K466" s="21" t="n">
        <x:v>1500</x:v>
      </x:c>
      <x:c r="L466" s="21" t="n">
        <x:v>497859.76</x:v>
      </x:c>
      <x:c r="M466" s="22" t="n">
        <x:v>44</x:v>
      </x:c>
    </x:row>
    <x:row r="467" ht="30" customHeight="1">
      <x:c r="A467" s="16" t="n">
        <x:v>46254</x:v>
      </x:c>
      <x:c r="B467" s="17" t="str">
        <x:v>4116442310</x:v>
      </x:c>
      <x:c r="C467" s="18" t="str">
        <x:v>DEPOSITO SPEI</x:v>
      </x:c>
      <x:c r="D467" s="18" t="str">
        <x:v>ALEXIA GUADALUPE CORTES COTA</x:v>
      </x:c>
      <x:c r="E467" s="18" t="str">
        <x:v>HSBC</x:v>
      </x:c>
      <x:c r="F467" s="17" t="str">
        <x:v>CTA 021040065238031906</x:v>
      </x:c>
      <x:c r="G467" s="19" t="str">
        <x:v>200826 Transferencia SPEI</x:v>
      </x:c>
      <x:c r="H467" s="20" t="str">
        <x:v>RASTREO HSBC066854</x:v>
      </x:c>
      <x:c r="I467" s="19" t="str">
        <x:v>DEPOSITO SPEI | ALEXIA GUADALUPE CORTES COTA | HSBC 021040065238031906 | 200826 Transferencia SPEI | CLAVE DE RASTREO HSBC066854</x:v>
      </x:c>
      <x:c r="J467" s="21"/>
      <x:c r="K467" s="21" t="n">
        <x:v>2800</x:v>
      </x:c>
      <x:c r="L467" s="21" t="n">
        <x:v>500659.76</x:v>
      </x:c>
      <x:c r="M467" s="22" t="n">
        <x:v>44</x:v>
      </x:c>
    </x:row>
    <x:row r="468" ht="30" customHeight="1">
      <x:c r="A468" s="16" t="n">
        <x:v>46254</x:v>
      </x:c>
      <x:c r="B468" s="17" t="str">
        <x:v>4116516765</x:v>
      </x:c>
      <x:c r="C468" s="18" t="str">
        <x:v>DEPOSITO SPEI</x:v>
      </x:c>
      <x:c r="D468" s="18" t="str">
        <x:v>OCTAVIO HERNANDEZ VILLEGAS</x:v>
      </x:c>
      <x:c r="E468" s="18" t="str">
        <x:v>Mercado Pago W</x:v>
      </x:c>
      <x:c r="F468" s="17" t="str">
        <x:v>CTA 722969010482258355</x:v>
      </x:c>
      <x:c r="G468" s="19" t="str">
        <x:v>3320434 Octavio Hernandez mza 8 lte 3</x:v>
      </x:c>
      <x:c r="H468" s="20" t="str">
        <x:v>RASTREO CPO174883320434</x:v>
      </x:c>
      <x:c r="I468" s="19" t="str">
        <x:v>DEPOSITO SPEI | OCTAVIO HERNANDEZ VILLEGAS | Mercado Pago W 722969010482258355 | 3320434 Octavio Hernandez mza 8 lte 3 | CLAVE DE RASTREO CPO174883320434</x:v>
      </x:c>
      <x:c r="J468" s="21"/>
      <x:c r="K468" s="21" t="n">
        <x:v>1500</x:v>
      </x:c>
      <x:c r="L468" s="21" t="n">
        <x:v>502159.76</x:v>
      </x:c>
      <x:c r="M468" s="22" t="n">
        <x:v>45</x:v>
      </x:c>
    </x:row>
    <x:row r="469" ht="30" customHeight="1">
      <x:c r="A469" s="16" t="n">
        <x:v>46254</x:v>
      </x:c>
      <x:c r="B469" s="17" t="str">
        <x:v>4116565417</x:v>
      </x:c>
      <x:c r="C469" s="18" t="str">
        <x:v>DEPOSITO SPEI</x:v>
      </x:c>
      <x:c r="D469" s="18" t="str">
        <x:v>DIANA VANESSA FELIX PAYAN</x:v>
      </x:c>
      <x:c r="E469" s="18" t="str">
        <x:v>Mercado Pago W</x:v>
      </x:c>
      <x:c r="F469" s="17" t="str">
        <x:v>CTA 722969010644689076</x:v>
      </x:c>
      <x:c r="G469" s="19" t="str">
        <x:v>6787760 M3L10 Diana Vanessa Félix Payán</x:v>
      </x:c>
      <x:c r="H469" s="20" t="str">
        <x:v>RASTREO CPO174886787760</x:v>
      </x:c>
      <x:c r="I469" s="19" t="str">
        <x:v>DEPOSITO SPEI | DIANA VANESSA FELIX PAYAN | Mercado Pago W 722969010644689076 | 6787760 M3L10 Diana Vanessa Félix Payán | CLAVE DE RASTREO CPO174886787760</x:v>
      </x:c>
      <x:c r="J469" s="21"/>
      <x:c r="K469" s="21" t="n">
        <x:v>1500</x:v>
      </x:c>
      <x:c r="L469" s="21" t="n">
        <x:v>503659.76</x:v>
      </x:c>
      <x:c r="M469" s="22" t="n">
        <x:v>45</x:v>
      </x:c>
    </x:row>
    <x:row r="470" ht="30" customHeight="1">
      <x:c r="A470" s="16" t="n">
        <x:v>46254</x:v>
      </x:c>
      <x:c r="B470" s="17" t="str">
        <x:v>4116566618</x:v>
      </x:c>
      <x:c r="C470" s="18" t="str">
        <x:v>DEPOSITO SPEI</x:v>
      </x:c>
      <x:c r="D470" s="18" t="str">
        <x:v>DIANA VANESSA FELIX PAYAN</x:v>
      </x:c>
      <x:c r="E470" s="18" t="str">
        <x:v>Mercado Pago W</x:v>
      </x:c>
      <x:c r="F470" s="17" t="str">
        <x:v>CTA 722969010644689076</x:v>
      </x:c>
      <x:c r="G470" s="19" t="str">
        <x:v>3549775 M3L11 Diana Vanessa Félix Payán</x:v>
      </x:c>
      <x:c r="H470" s="20" t="str">
        <x:v>RASTREO CPO173953549775</x:v>
      </x:c>
      <x:c r="I470" s="19" t="str">
        <x:v>DEPOSITO SPEI | DIANA VANESSA FELIX PAYAN | Mercado Pago W 722969010644689076 | 3549775 M3L11 Diana Vanessa Félix Payán | CLAVE DE RASTREO CPO173953549775</x:v>
      </x:c>
      <x:c r="J470" s="21"/>
      <x:c r="K470" s="21" t="n">
        <x:v>1500</x:v>
      </x:c>
      <x:c r="L470" s="21" t="n">
        <x:v>505159.76</x:v>
      </x:c>
      <x:c r="M470" s="22" t="n">
        <x:v>45</x:v>
      </x:c>
    </x:row>
    <x:row r="471" ht="30" customHeight="1">
      <x:c r="A471" s="16" t="n">
        <x:v>46254</x:v>
      </x:c>
      <x:c r="B471" s="17" t="str">
        <x:v>8202629322</x:v>
      </x:c>
      <x:c r="C471" s="18" t="str">
        <x:v>TRANSFERENCIA SPEI</x:v>
      </x:c>
      <x:c r="D471" s="18" t="str">
        <x:v>Jesica Lucia Nares Martinez</x:v>
      </x:c>
      <x:c r="E471" s="18" t="str">
        <x:v>BANAMEX</x:v>
      </x:c>
      <x:c r="F471" s="17" t="str">
        <x:v>CTA 5204166289290597</x:v>
      </x:c>
      <x:c r="G471" s="19" t="str">
        <x:v>20260820 Pago | 036NAPP20082026293224808 RFC NO DISPONIBLE</x:v>
      </x:c>
      <x:c r="H471" s="20" t="str"/>
      <x:c r="I471" s="19" t="str">
        <x:v>TRANSFERENCIA SPEI | Jesica Lucia Nares Martinez | BANAMEX 5204166289290597 | 20260820 Pago | 036NAPP20082026293224808 RFC NO DISPONIBLE</x:v>
      </x:c>
      <x:c r="J471" s="21" t="n">
        <x:v>10000</x:v>
      </x:c>
      <x:c r="K471" s="21"/>
      <x:c r="L471" s="21" t="n">
        <x:v>495159.76</x:v>
      </x:c>
      <x:c r="M471" s="22" t="n">
        <x:v>45</x:v>
      </x:c>
    </x:row>
    <x:row r="472" ht="30" customHeight="1">
      <x:c r="A472" s="16" t="n">
        <x:v>46254</x:v>
      </x:c>
      <x:c r="B472" s="17" t="str">
        <x:v>8202629322</x:v>
      </x:c>
      <x:c r="C472" s="18" t="str">
        <x:v>TRANSFERENCIA SPEI</x:v>
      </x:c>
      <x:c r="D472" s="18" t="str">
        <x:v>Jesica Lucia Nares Martinez</x:v>
      </x:c>
      <x:c r="E472" s="18" t="str">
        <x:v>BANAMEX</x:v>
      </x:c>
      <x:c r="F472" s="17" t="str">
        <x:v>CTA 5204166289290597</x:v>
      </x:c>
      <x:c r="G472" s="19" t="str">
        <x:v>20260820 Pago | 036NAPP20082026293225379 RFC NO DISPONIBLE</x:v>
      </x:c>
      <x:c r="H472" s="20" t="str"/>
      <x:c r="I472" s="19" t="str">
        <x:v>TRANSFERENCIA SPEI | Jesica Lucia Nares Martinez | BANAMEX 5204166289290597 | 20260820 Pago | 036NAPP20082026293225379 RFC NO DISPONIBLE</x:v>
      </x:c>
      <x:c r="J472" s="21" t="n">
        <x:v>10000</x:v>
      </x:c>
      <x:c r="K472" s="21"/>
      <x:c r="L472" s="21" t="n">
        <x:v>485159.76</x:v>
      </x:c>
      <x:c r="M472" s="22" t="n">
        <x:v>45</x:v>
      </x:c>
    </x:row>
    <x:row r="473" ht="30" customHeight="1">
      <x:c r="A473" s="16" t="n">
        <x:v>46254</x:v>
      </x:c>
      <x:c r="B473" s="17" t="str">
        <x:v>4116628025</x:v>
      </x:c>
      <x:c r="C473" s="18" t="str">
        <x:v>DEPOSITO SPEI</x:v>
      </x:c>
      <x:c r="D473" s="18" t="str">
        <x:v>ISRAEL ANTONIO ZAZUETA SAVIN</x:v>
      </x:c>
      <x:c r="E473" s="18" t="str">
        <x:v>Mercado Pago W</x:v>
      </x:c>
      <x:c r="F473" s="17" t="str">
        <x:v>CTA 722969010976622989</x:v>
      </x:c>
      <x:c r="G473" s="19" t="str">
        <x:v>8189269 Pvd m29l4</x:v>
      </x:c>
      <x:c r="H473" s="20" t="str">
        <x:v>RASTREO CPO173958189269</x:v>
      </x:c>
      <x:c r="I473" s="19" t="str">
        <x:v>DEPOSITO SPEI | ISRAEL ANTONIO ZAZUETA SAVIN | Mercado Pago W 722969010976622989 | 8189269 Pvd m29l4 | CLAVE DE RASTREO CPO173958189269</x:v>
      </x:c>
      <x:c r="J473" s="21"/>
      <x:c r="K473" s="21" t="n">
        <x:v>1971.89</x:v>
      </x:c>
      <x:c r="L473" s="21" t="n">
        <x:v>487131.65</x:v>
      </x:c>
      <x:c r="M473" s="22" t="n">
        <x:v>45</x:v>
      </x:c>
    </x:row>
    <x:row r="474" ht="30" customHeight="1">
      <x:c r="A474" s="16" t="n">
        <x:v>46254</x:v>
      </x:c>
      <x:c r="B474" s="17" t="str">
        <x:v>4116648320</x:v>
      </x:c>
      <x:c r="C474" s="18" t="str">
        <x:v>DEPOSITO SPEI</x:v>
      </x:c>
      <x:c r="D474" s="18" t="str">
        <x:v>MIGUEL MENDEZ ZARATE</x:v>
      </x:c>
      <x:c r="E474" s="18" t="str">
        <x:v>BBVA MEXICO</x:v>
      </x:c>
      <x:c r="F474" s="17" t="str">
        <x:v>CTA 012854029142128515</x:v>
      </x:c>
      <x:c r="G474" s="19" t="str">
        <x:v>3107260 MZ3 LT8 MIGUEL MENDE</x:v>
      </x:c>
      <x:c r="H474" s="20" t="str">
        <x:v>RASTREO MBAN01002608210092517139</x:v>
      </x:c>
      <x:c r="I474" s="19" t="str">
        <x:v>DEPOSITO SPEI | MIGUEL MENDEZ ZARATE | BBVA MEXICO 012854029142128515 | 3107260 MZ3 LT8 MIGUEL MENDE | CLAVE DE RASTREO MBAN01002608210092517139</x:v>
      </x:c>
      <x:c r="J474" s="21"/>
      <x:c r="K474" s="21" t="n">
        <x:v>1500</x:v>
      </x:c>
      <x:c r="L474" s="21" t="n">
        <x:v>488631.65</x:v>
      </x:c>
      <x:c r="M474" s="22" t="n">
        <x:v>45</x:v>
      </x:c>
    </x:row>
    <x:row r="475" ht="30" customHeight="1">
      <x:c r="A475" s="16" t="n">
        <x:v>46254</x:v>
      </x:c>
      <x:c r="B475" s="17" t="str">
        <x:v>4116650141</x:v>
      </x:c>
      <x:c r="C475" s="18" t="str">
        <x:v>DEPOSITO SPEI</x:v>
      </x:c>
      <x:c r="D475" s="18" t="str">
        <x:v>ANA ROSA LARA SOLORZANO</x:v>
      </x:c>
      <x:c r="E475" s="18" t="str">
        <x:v>BANCOPPEL</x:v>
      </x:c>
      <x:c r="F475" s="17" t="str">
        <x:v>CTA 137040104141402684</x:v>
      </x:c>
      <x:c r="G475" s="19" t="str">
        <x:v>2008261 PVD M29L4</x:v>
      </x:c>
      <x:c r="H475" s="20" t="str">
        <x:v>RASTREO 50112684TRANSBPI17695704</x:v>
      </x:c>
      <x:c r="I475" s="19" t="str">
        <x:v>DEPOSITO SPEI | ANA ROSA LARA SOLORZANO | BANCOPPEL 137040104141402684 | 2008261 PVD M29L4 | CLAVE DE RASTREO 50112684TRANSBPI17695704</x:v>
      </x:c>
      <x:c r="J475" s="21"/>
      <x:c r="K475" s="21" t="n">
        <x:v>417</x:v>
      </x:c>
      <x:c r="L475" s="21" t="n">
        <x:v>489048.65</x:v>
      </x:c>
      <x:c r="M475" s="22" t="n">
        <x:v>45</x:v>
      </x:c>
    </x:row>
    <x:row r="476" ht="30" customHeight="1">
      <x:c r="A476" s="16" t="n">
        <x:v>46254</x:v>
      </x:c>
      <x:c r="B476" s="17" t="str">
        <x:v>4116650870</x:v>
      </x:c>
      <x:c r="C476" s="18" t="str">
        <x:v>DEPOSITO SPEI</x:v>
      </x:c>
      <x:c r="D476" s="18" t="str">
        <x:v>NAYELY SARAI BECERRA HERNANDEZ</x:v>
      </x:c>
      <x:c r="E476" s="18" t="str">
        <x:v>BBVA MEXICO</x:v>
      </x:c>
      <x:c r="F476" s="17" t="str">
        <x:v>CTA 012040015148859567</x:v>
      </x:c>
      <x:c r="G476" s="19" t="str">
        <x:v>3107260 manzana7lote24</x:v>
      </x:c>
      <x:c r="H476" s="20" t="str">
        <x:v>RASTREO MBAN01002608210092534327</x:v>
      </x:c>
      <x:c r="I476" s="19" t="str">
        <x:v>DEPOSITO SPEI | NAYELY SARAI BECERRA HERNANDEZ | BBVA MEXICO 012040015148859567 | 3107260 manzana7lote24 | CLAVE DE RASTREO MBAN01002608210092534327</x:v>
      </x:c>
      <x:c r="J476" s="21"/>
      <x:c r="K476" s="21" t="n">
        <x:v>1500</x:v>
      </x:c>
      <x:c r="L476" s="21" t="n">
        <x:v>490548.65</x:v>
      </x:c>
      <x:c r="M476" s="22" t="n">
        <x:v>45</x:v>
      </x:c>
    </x:row>
    <x:row r="477" ht="30" customHeight="1">
      <x:c r="A477" s="16" t="n">
        <x:v>46254</x:v>
      </x:c>
      <x:c r="B477" s="17" t="str">
        <x:v>4116651526</x:v>
      </x:c>
      <x:c r="C477" s="18" t="str">
        <x:v>DEPOSITO SPEI</x:v>
      </x:c>
      <x:c r="D477" s="18" t="str">
        <x:v>NAYELY SARAI BECERRA HERNANDEZ</x:v>
      </x:c>
      <x:c r="E477" s="18" t="str">
        <x:v>BBVA MEXICO</x:v>
      </x:c>
      <x:c r="F477" s="17" t="str">
        <x:v>CTA 012040015148859567</x:v>
      </x:c>
      <x:c r="G477" s="19" t="str">
        <x:v>3107260 manzana7lote 25</x:v>
      </x:c>
      <x:c r="H477" s="20" t="str">
        <x:v>RASTREO MBAN01002608210092537771</x:v>
      </x:c>
      <x:c r="I477" s="19" t="str">
        <x:v>DEPOSITO SPEI | NAYELY SARAI BECERRA HERNANDEZ | BBVA MEXICO 012040015148859567 | 3107260 manzana7lote 25 | CLAVE DE RASTREO MBAN01002608210092537771</x:v>
      </x:c>
      <x:c r="J477" s="21"/>
      <x:c r="K477" s="21" t="n">
        <x:v>1500</x:v>
      </x:c>
      <x:c r="L477" s="21" t="n">
        <x:v>492048.65</x:v>
      </x:c>
      <x:c r="M477" s="22" t="n">
        <x:v>45</x:v>
      </x:c>
    </x:row>
    <x:row r="478" ht="30" customHeight="1">
      <x:c r="A478" s="16" t="n">
        <x:v>46255</x:v>
      </x:c>
      <x:c r="B478" s="17" t="str">
        <x:v>4116665908</x:v>
      </x:c>
      <x:c r="C478" s="18" t="str">
        <x:v>DEPOSITO SPEI</x:v>
      </x:c>
      <x:c r="D478" s="18" t="str">
        <x:v>MICHELL GUADALUPE CORRAL CASTILLO</x:v>
      </x:c>
      <x:c r="E478" s="18" t="str">
        <x:v>Mercado Pago W</x:v>
      </x:c>
      <x:c r="F478" s="17" t="str">
        <x:v>CTA 722969010190066716</x:v>
      </x:c>
      <x:c r="G478" s="19" t="str">
        <x:v>1851169 Michell Gpe Corral Castillo Mna25 L8 PV</x:v>
      </x:c>
      <x:c r="H478" s="20" t="str">
        <x:v>RASTREO CPO173960851169</x:v>
      </x:c>
      <x:c r="I478" s="19" t="str">
        <x:v>DEPOSITO SPEI | MICHELL GUADALUPE CORRAL CASTILLO | Mercado Pago W 722969010190066716 | 1851169 Michell Gpe Corral Castillo Mna25 L8 PV | CLAVE DE RASTREO CPO173960851169</x:v>
      </x:c>
      <x:c r="J478" s="21"/>
      <x:c r="K478" s="21" t="n">
        <x:v>1500</x:v>
      </x:c>
      <x:c r="L478" s="21" t="n">
        <x:v>493548.65</x:v>
      </x:c>
      <x:c r="M478" s="22" t="n">
        <x:v>46</x:v>
      </x:c>
    </x:row>
    <x:row r="479" ht="30" customHeight="1">
      <x:c r="A479" s="16" t="n">
        <x:v>46255</x:v>
      </x:c>
      <x:c r="B479" s="17" t="str">
        <x:v>4116666359</x:v>
      </x:c>
      <x:c r="C479" s="18" t="str">
        <x:v>DEPOSITO SPEI</x:v>
      </x:c>
      <x:c r="D479" s="18" t="str">
        <x:v>MICHELL GUADALUPE CORRAL CASTILLO</x:v>
      </x:c>
      <x:c r="E479" s="18" t="str">
        <x:v>Mercado Pago W</x:v>
      </x:c>
      <x:c r="F479" s="17" t="str">
        <x:v>CTA 722969010190066716</x:v>
      </x:c>
      <x:c r="G479" s="19" t="str">
        <x:v>4173994 Michell Gpe Corral Castillo mz25 L9 PV</x:v>
      </x:c>
      <x:c r="H479" s="20" t="str">
        <x:v>RASTREO CPO174894173994</x:v>
      </x:c>
      <x:c r="I479" s="19" t="str">
        <x:v>DEPOSITO SPEI | MICHELL GUADALUPE CORRAL CASTILLO | Mercado Pago W 722969010190066716 | 4173994 Michell Gpe Corral Castillo mz25 L9 PV | CLAVE DE RASTREO CPO174894173994</x:v>
      </x:c>
      <x:c r="J479" s="21"/>
      <x:c r="K479" s="21" t="n">
        <x:v>1500</x:v>
      </x:c>
      <x:c r="L479" s="21" t="n">
        <x:v>495048.65</x:v>
      </x:c>
      <x:c r="M479" s="22" t="n">
        <x:v>46</x:v>
      </x:c>
    </x:row>
    <x:row r="480" ht="30" customHeight="1">
      <x:c r="A480" s="16" t="n">
        <x:v>46255</x:v>
      </x:c>
      <x:c r="B480" s="17" t="str">
        <x:v>4116668177</x:v>
      </x:c>
      <x:c r="C480" s="18" t="str">
        <x:v>TRASPASO ENTRE CUENTAS</x:v>
      </x:c>
      <x:c r="D480" s="18" t="str"/>
      <x:c r="E480" s="18" t="str"/>
      <x:c r="F480" s="17" t="str"/>
      <x:c r="G480" s="19" t="str">
        <x:v>TRASPASO DE (NOM) - 2945 - DE VICTOR FERNANDO</x:v>
      </x:c>
      <x:c r="H480" s="20" t="str"/>
      <x:c r="I480" s="19" t="str">
        <x:v>TRASPASO ENTRE CUENTAS | TRASPASO DE (NOM) - 2945 - DE VICTOR FERNANDO</x:v>
      </x:c>
      <x:c r="J480" s="21"/>
      <x:c r="K480" s="21" t="n">
        <x:v>1500</x:v>
      </x:c>
      <x:c r="L480" s="21" t="n">
        <x:v>496548.65</x:v>
      </x:c>
      <x:c r="M480" s="22" t="n">
        <x:v>46</x:v>
      </x:c>
    </x:row>
    <x:row r="481" ht="30" customHeight="1">
      <x:c r="A481" s="16" t="n">
        <x:v>46255</x:v>
      </x:c>
      <x:c r="B481" s="17" t="str">
        <x:v>4116732102</x:v>
      </x:c>
      <x:c r="C481" s="18" t="str">
        <x:v>MITSPUG*REST JOSE RAMO MX</x:v>
      </x:c>
      <x:c r="D481" s="18" t="str"/>
      <x:c r="E481" s="18" t="str"/>
      <x:c r="F481" s="17" t="str"/>
      <x:c r="G481" s="19" t="str"/>
      <x:c r="H481" s="20" t="str"/>
      <x:c r="I481" s="19" t="str">
        <x:v>MITSPUG*REST JOSE RAMO MX</x:v>
      </x:c>
      <x:c r="J481" s="21" t="n">
        <x:v>1095</x:v>
      </x:c>
      <x:c r="K481" s="21"/>
      <x:c r="L481" s="21" t="n">
        <x:v>495453.65</x:v>
      </x:c>
      <x:c r="M481" s="22" t="n">
        <x:v>46</x:v>
      </x:c>
    </x:row>
    <x:row r="482" ht="30" customHeight="1">
      <x:c r="A482" s="16" t="n">
        <x:v>46255</x:v>
      </x:c>
      <x:c r="B482" s="17" t="str">
        <x:v>4116732115</x:v>
      </x:c>
      <x:c r="C482" s="18" t="str">
        <x:v>GAS REPSOL MX</x:v>
      </x:c>
      <x:c r="D482" s="18" t="str"/>
      <x:c r="E482" s="18" t="str"/>
      <x:c r="F482" s="17" t="str"/>
      <x:c r="G482" s="19" t="str"/>
      <x:c r="H482" s="20" t="str"/>
      <x:c r="I482" s="19" t="str">
        <x:v>GAS REPSOL MX</x:v>
      </x:c>
      <x:c r="J482" s="21" t="n">
        <x:v>2052.08</x:v>
      </x:c>
      <x:c r="K482" s="21"/>
      <x:c r="L482" s="21" t="n">
        <x:v>493401.57</x:v>
      </x:c>
      <x:c r="M482" s="22" t="n">
        <x:v>46</x:v>
      </x:c>
    </x:row>
    <x:row r="483" ht="30" customHeight="1">
      <x:c r="A483" s="16" t="n">
        <x:v>46255</x:v>
      </x:c>
      <x:c r="B483" s="17" t="str">
        <x:v>4116732131</x:v>
      </x:c>
      <x:c r="C483" s="18" t="str">
        <x:v>REFAC BAJA BIKES SJC MX</x:v>
      </x:c>
      <x:c r="D483" s="18" t="str"/>
      <x:c r="E483" s="18" t="str"/>
      <x:c r="F483" s="17" t="str"/>
      <x:c r="G483" s="19" t="str"/>
      <x:c r="H483" s="20" t="str"/>
      <x:c r="I483" s="19" t="str">
        <x:v>REFAC BAJA BIKES SJC MX</x:v>
      </x:c>
      <x:c r="J483" s="21" t="n">
        <x:v>4472.96</x:v>
      </x:c>
      <x:c r="K483" s="21"/>
      <x:c r="L483" s="21" t="n">
        <x:v>488928.61</x:v>
      </x:c>
      <x:c r="M483" s="22" t="n">
        <x:v>46</x:v>
      </x:c>
    </x:row>
    <x:row r="484" ht="30" customHeight="1">
      <x:c r="A484" s="16" t="n">
        <x:v>46255</x:v>
      </x:c>
      <x:c r="B484" s="17" t="str">
        <x:v>4116732143</x:v>
      </x:c>
      <x:c r="C484" s="18" t="str">
        <x:v>CAMARENAAUTOPA MX</x:v>
      </x:c>
      <x:c r="D484" s="18" t="str"/>
      <x:c r="E484" s="18" t="str"/>
      <x:c r="F484" s="17" t="str"/>
      <x:c r="G484" s="19" t="str"/>
      <x:c r="H484" s="20" t="str"/>
      <x:c r="I484" s="19" t="str">
        <x:v>CAMARENAAUTOPA MX</x:v>
      </x:c>
      <x:c r="J484" s="21" t="n">
        <x:v>1749.19</x:v>
      </x:c>
      <x:c r="K484" s="21"/>
      <x:c r="L484" s="21" t="n">
        <x:v>487179.42</x:v>
      </x:c>
      <x:c r="M484" s="22" t="n">
        <x:v>46</x:v>
      </x:c>
    </x:row>
    <x:row r="485" ht="30" customHeight="1">
      <x:c r="A485" s="16" t="n">
        <x:v>46255</x:v>
      </x:c>
      <x:c r="B485" s="17" t="str">
        <x:v>4116732154</x:v>
      </x:c>
      <x:c r="C485" s="18" t="str">
        <x:v>GAS REPSOL MX</x:v>
      </x:c>
      <x:c r="D485" s="18" t="str"/>
      <x:c r="E485" s="18" t="str"/>
      <x:c r="F485" s="17" t="str"/>
      <x:c r="G485" s="19" t="str"/>
      <x:c r="H485" s="20" t="str"/>
      <x:c r="I485" s="19" t="str">
        <x:v>GAS REPSOL MX</x:v>
      </x:c>
      <x:c r="J485" s="21" t="n">
        <x:v>500</x:v>
      </x:c>
      <x:c r="K485" s="21"/>
      <x:c r="L485" s="21" t="n">
        <x:v>486679.42</x:v>
      </x:c>
      <x:c r="M485" s="22" t="n">
        <x:v>46</x:v>
      </x:c>
    </x:row>
    <x:row r="486" ht="30" customHeight="1">
      <x:c r="A486" s="16" t="n">
        <x:v>46255</x:v>
      </x:c>
      <x:c r="B486" s="17" t="str">
        <x:v>8202629328</x:v>
      </x:c>
      <x:c r="C486" s="18" t="str">
        <x:v>TRANSFERENCIA SPEI</x:v>
      </x:c>
      <x:c r="D486" s="18" t="str">
        <x:v>FYMSA BAJA SUR SRL DE CV</x:v>
      </x:c>
      <x:c r="E486" s="18" t="str">
        <x:v>BBVA MEXICO</x:v>
      </x:c>
      <x:c r="F486" s="17" t="str">
        <x:v>CTA 012040001171445392</x:v>
      </x:c>
      <x:c r="G486" s="19" t="str">
        <x:v>20260821 Pago | 036NAPP21082026293287560 RFC NO DISPONIBLE</x:v>
      </x:c>
      <x:c r="H486" s="20" t="str"/>
      <x:c r="I486" s="19" t="str">
        <x:v>TRANSFERENCIA SPEI | FYMSA BAJA SUR SRL DE CV | BBVA MEXICO 012040001171445392 | 20260821 Pago | 036NAPP21082026293287560 RFC NO DISPONIBLE</x:v>
      </x:c>
      <x:c r="J486" s="21" t="n">
        <x:v>2349.32</x:v>
      </x:c>
      <x:c r="K486" s="21"/>
      <x:c r="L486" s="21" t="n">
        <x:v>484330.1</x:v>
      </x:c>
      <x:c r="M486" s="22" t="n">
        <x:v>46</x:v>
      </x:c>
    </x:row>
    <x:row r="487" ht="30" customHeight="1">
      <x:c r="A487" s="16" t="n">
        <x:v>46255</x:v>
      </x:c>
      <x:c r="B487" s="17" t="str">
        <x:v>4117314838</x:v>
      </x:c>
      <x:c r="C487" s="18" t="str">
        <x:v>DEPOSITO SPEI</x:v>
      </x:c>
      <x:c r="D487" s="18" t="str">
        <x:v>Michel Alexis Savin Gomez</x:v>
      </x:c>
      <x:c r="E487" s="18" t="str">
        <x:v>SPIN BY OXXO</x:v>
      </x:c>
      <x:c r="F487" s="17" t="str">
        <x:v>CTA 728969000033207921</x:v>
      </x:c>
      <x:c r="G487" s="19" t="str">
        <x:v>4324444 Michel Alexis savin Gomez LT34 MZ24</x:v>
      </x:c>
      <x:c r="H487" s="20" t="str">
        <x:v>RASTREO SPIN-20260821162909CWULXTC9</x:v>
      </x:c>
      <x:c r="I487" s="19" t="str">
        <x:v>DEPOSITO SPEI | Michel Alexis Savin Gomez | SPIN BY OXXO 728969000033207921 | 4324444 Michel Alexis savin Gomez LT34 MZ24 | CLAVE DE RASTREO SPIN-20260821162909CWULXTC9</x:v>
      </x:c>
      <x:c r="J487" s="21"/>
      <x:c r="K487" s="21" t="n">
        <x:v>2389</x:v>
      </x:c>
      <x:c r="L487" s="21" t="n">
        <x:v>486719.1</x:v>
      </x:c>
      <x:c r="M487" s="22" t="n">
        <x:v>46</x:v>
      </x:c>
    </x:row>
    <x:row r="488" ht="30" customHeight="1">
      <x:c r="A488" s="16" t="n">
        <x:v>46255</x:v>
      </x:c>
      <x:c r="B488" s="17" t="str">
        <x:v>4117371659</x:v>
      </x:c>
      <x:c r="C488" s="18" t="str">
        <x:v>DEPOSITO SPEI</x:v>
      </x:c>
      <x:c r="D488" s="18" t="str">
        <x:v>ALICIA IVETH RODARTE CASTRO</x:v>
      </x:c>
      <x:c r="E488" s="18" t="str">
        <x:v>NUBANK</x:v>
      </x:c>
      <x:c r="F488" s="17" t="str">
        <x:v>CTA 638180000133795176</x:v>
      </x:c>
      <x:c r="G488" s="19" t="str">
        <x:v>210826 Transferencia</x:v>
      </x:c>
      <x:c r="H488" s="20" t="str">
        <x:v>RASTREO NU3AH22ET9OA8LKA6C7NST4PQU78</x:v>
      </x:c>
      <x:c r="I488" s="19" t="str">
        <x:v>DEPOSITO SPEI | ALICIA IVETH RODARTE CASTRO | NUBANK 638180000133795176 | 210826 Transferencia | CLAVE DE RASTREO NU3AH22ET9OA8LKA6C7NST4PQU78</x:v>
      </x:c>
      <x:c r="J488" s="21"/>
      <x:c r="K488" s="21" t="n">
        <x:v>10668</x:v>
      </x:c>
      <x:c r="L488" s="21" t="n">
        <x:v>497387.1</x:v>
      </x:c>
      <x:c r="M488" s="22" t="n">
        <x:v>46</x:v>
      </x:c>
    </x:row>
    <x:row r="489" ht="30" customHeight="1">
      <x:c r="A489" s="16" t="n">
        <x:v>46255</x:v>
      </x:c>
      <x:c r="B489" s="17" t="str">
        <x:v>4117375072</x:v>
      </x:c>
      <x:c r="C489" s="18" t="str">
        <x:v>DEPOSITO SPEI</x:v>
      </x:c>
      <x:c r="D489" s="18" t="str">
        <x:v>ALICIA IVETH RODARTE CASTRO</x:v>
      </x:c>
      <x:c r="E489" s="18" t="str">
        <x:v>NUBANK</x:v>
      </x:c>
      <x:c r="F489" s="17" t="str">
        <x:v>CTA 638180000133795176</x:v>
      </x:c>
      <x:c r="G489" s="19" t="str">
        <x:v>210826 Transferencia</x:v>
      </x:c>
      <x:c r="H489" s="20" t="str">
        <x:v>RASTREO NU3AH22MTSKG9CD9G709PA35MGA9</x:v>
      </x:c>
      <x:c r="I489" s="19" t="str">
        <x:v>DEPOSITO SPEI | ALICIA IVETH RODARTE CASTRO | NUBANK 638180000133795176 | 210826 Transferencia | CLAVE DE RASTREO NU3AH22MTSKG9CD9G709PA35MGA9</x:v>
      </x:c>
      <x:c r="J489" s="21"/>
      <x:c r="K489" s="21" t="n">
        <x:v>1500</x:v>
      </x:c>
      <x:c r="L489" s="21" t="n">
        <x:v>498887.1</x:v>
      </x:c>
      <x:c r="M489" s="22" t="n">
        <x:v>46</x:v>
      </x:c>
    </x:row>
    <x:row r="490" ht="30" customHeight="1">
      <x:c r="A490" s="16" t="n">
        <x:v>46255</x:v>
      </x:c>
      <x:c r="B490" s="17" t="str">
        <x:v>8202629331</x:v>
      </x:c>
      <x:c r="C490" s="18" t="str">
        <x:v>TRANSFERENCIA SPEI</x:v>
      </x:c>
      <x:c r="D490" s="18" t="str">
        <x:v>Nehiva Arauza</x:v>
      </x:c>
      <x:c r="E490" s="18" t="str">
        <x:v>BBVA MEXICO</x:v>
      </x:c>
      <x:c r="F490" s="17" t="str">
        <x:v>CTA 4152314180181748</x:v>
      </x:c>
      <x:c r="G490" s="19" t="str">
        <x:v>20260821 Pago cel | 036NAPP21082026293312471 RFC NO DISPONIBLE</x:v>
      </x:c>
      <x:c r="H490" s="20" t="str"/>
      <x:c r="I490" s="19" t="str">
        <x:v>TRANSFERENCIA SPEI | Nehiva Arauza | BBVA MEXICO 4152314180181748 | 20260821 Pago cel | 036NAPP21082026293312471 RFC NO DISPONIBLE</x:v>
      </x:c>
      <x:c r="J490" s="21" t="n">
        <x:v>600</x:v>
      </x:c>
      <x:c r="K490" s="21"/>
      <x:c r="L490" s="21" t="n">
        <x:v>498287.1</x:v>
      </x:c>
      <x:c r="M490" s="22" t="n">
        <x:v>46</x:v>
      </x:c>
    </x:row>
    <x:row r="491" ht="30" customHeight="1">
      <x:c r="A491" s="16" t="n">
        <x:v>46255</x:v>
      </x:c>
      <x:c r="B491" s="17" t="str">
        <x:v>4117619842</x:v>
      </x:c>
      <x:c r="C491" s="18" t="str">
        <x:v>DEPOSITO SPEI</x:v>
      </x:c>
      <x:c r="D491" s="18" t="str">
        <x:v>SANCHEZ SOLORZANO ARI GERARDO</x:v>
      </x:c>
      <x:c r="E491" s="18" t="str">
        <x:v>AZTECA</x:v>
      </x:c>
      <x:c r="F491" s="17" t="str">
        <x:v>CTA 127040013099547828</x:v>
      </x:c>
      <x:c r="G491" s="19" t="str">
        <x:v>1059321 MZ 13 L15 GERARDO</x:v>
      </x:c>
      <x:c r="H491" s="20" t="str">
        <x:v>RASTREO 260821010761364424I</x:v>
      </x:c>
      <x:c r="I491" s="19" t="str">
        <x:v>DEPOSITO SPEI | SANCHEZ SOLORZANO ARI GERARDO | AZTECA 127040013099547828 | 1059321 MZ 13 L15 GERARDO | CLAVE DE RASTREO 260821010761364424I</x:v>
      </x:c>
      <x:c r="J491" s="21"/>
      <x:c r="K491" s="21" t="n">
        <x:v>1500</x:v>
      </x:c>
      <x:c r="L491" s="21" t="n">
        <x:v>499787.1</x:v>
      </x:c>
      <x:c r="M491" s="22" t="n">
        <x:v>46</x:v>
      </x:c>
    </x:row>
    <x:row r="492" ht="30" customHeight="1">
      <x:c r="A492" s="16" t="n">
        <x:v>46255</x:v>
      </x:c>
      <x:c r="B492" s="17" t="str">
        <x:v>4117647916</x:v>
      </x:c>
      <x:c r="C492" s="18" t="str">
        <x:v>DEPOSITO SPEI</x:v>
      </x:c>
      <x:c r="D492" s="18" t="str">
        <x:v>SANCHEZ SOLORZANO ARI GERARDO</x:v>
      </x:c>
      <x:c r="E492" s="18" t="str">
        <x:v>AZTECA</x:v>
      </x:c>
      <x:c r="F492" s="17" t="str">
        <x:v>CTA 127040013099547828</x:v>
      </x:c>
      <x:c r="G492" s="19" t="str">
        <x:v>1059321 MZ 13 L15 GERARDO RECARGO</x:v>
      </x:c>
      <x:c r="H492" s="20" t="str">
        <x:v>RASTREO 260821010761515904I</x:v>
      </x:c>
      <x:c r="I492" s="19" t="str">
        <x:v>DEPOSITO SPEI | SANCHEZ SOLORZANO ARI GERARDO | AZTECA 127040013099547828 | 1059321 MZ 13 L15 GERARDO RECARGO | CLAVE DE RASTREO 260821010761515904I</x:v>
      </x:c>
      <x:c r="J492" s="21"/>
      <x:c r="K492" s="21" t="n">
        <x:v>100</x:v>
      </x:c>
      <x:c r="L492" s="21" t="n">
        <x:v>499887.1</x:v>
      </x:c>
      <x:c r="M492" s="22" t="n">
        <x:v>47</x:v>
      </x:c>
    </x:row>
    <x:row r="493" ht="30" customHeight="1">
      <x:c r="A493" s="16" t="n">
        <x:v>46255</x:v>
      </x:c>
      <x:c r="B493" s="17" t="str">
        <x:v>4117657190</x:v>
      </x:c>
      <x:c r="C493" s="18" t="str">
        <x:v>DEPOSITO SPEI</x:v>
      </x:c>
      <x:c r="D493" s="18" t="str">
        <x:v>CRISTIAN ANDRES CASTRO BERRELLEZA</x:v>
      </x:c>
      <x:c r="E493" s="18" t="str">
        <x:v>BBVA MEXICO</x:v>
      </x:c>
      <x:c r="F493" s="17" t="str">
        <x:v>CTA 012180015576520412</x:v>
      </x:c>
      <x:c r="G493" s="19" t="str">
        <x:v>3107260 resto anualidad</x:v>
      </x:c>
      <x:c r="H493" s="20" t="str">
        <x:v>RASTREO MBAN01002608210095000339</x:v>
      </x:c>
      <x:c r="I493" s="19" t="str">
        <x:v>DEPOSITO SPEI | CRISTIAN ANDRES CASTRO BERRELLEZA | BBVA MEXICO 012180015576520412 | 3107260 resto anualidad | CLAVE DE RASTREO MBAN01002608210095000339</x:v>
      </x:c>
      <x:c r="J493" s="21"/>
      <x:c r="K493" s="21" t="n">
        <x:v>4300</x:v>
      </x:c>
      <x:c r="L493" s="21" t="n">
        <x:v>504187.1</x:v>
      </x:c>
      <x:c r="M493" s="22" t="n">
        <x:v>47</x:v>
      </x:c>
    </x:row>
    <x:row r="494" ht="30" customHeight="1">
      <x:c r="A494" s="16" t="n">
        <x:v>46255</x:v>
      </x:c>
      <x:c r="B494" s="17" t="str">
        <x:v>4117680696</x:v>
      </x:c>
      <x:c r="C494" s="18" t="str">
        <x:v>DEPOSITO SPEI</x:v>
      </x:c>
      <x:c r="D494" s="18" t="str">
        <x:v>LUIS PEREZ BARRIOS</x:v>
      </x:c>
      <x:c r="E494" s="18" t="str">
        <x:v>BBVA MEXICO</x:v>
      </x:c>
      <x:c r="F494" s="17" t="str">
        <x:v>CTA 012180001685536615</x:v>
      </x:c>
      <x:c r="G494" s="19" t="str">
        <x:v>3107260 lote 41 mz 24 luis perez</x:v>
      </x:c>
      <x:c r="H494" s="20" t="str">
        <x:v>RASTREO MBAN01002608210095071037</x:v>
      </x:c>
      <x:c r="I494" s="19" t="str">
        <x:v>DEPOSITO SPEI | LUIS PEREZ BARRIOS | BBVA MEXICO 012180001685536615 | 3107260 lote 41 mz 24 luis perez | CLAVE DE RASTREO MBAN01002608210095071037</x:v>
      </x:c>
      <x:c r="J494" s="21"/>
      <x:c r="K494" s="21" t="n">
        <x:v>3044</x:v>
      </x:c>
      <x:c r="L494" s="21" t="n">
        <x:v>507231.1</x:v>
      </x:c>
      <x:c r="M494" s="22" t="n">
        <x:v>47</x:v>
      </x:c>
    </x:row>
    <x:row r="495" ht="30" customHeight="1">
      <x:c r="A495" s="16" t="n">
        <x:v>46255</x:v>
      </x:c>
      <x:c r="B495" s="17" t="str">
        <x:v>4117687477</x:v>
      </x:c>
      <x:c r="C495" s="18" t="str">
        <x:v>DEPOSITO SPEI</x:v>
      </x:c>
      <x:c r="D495" s="18" t="str">
        <x:v>ARACELI MENESES DE LA ROSA</x:v>
      </x:c>
      <x:c r="E495" s="18" t="str">
        <x:v>BBVA MEXICO</x:v>
      </x:c>
      <x:c r="F495" s="17" t="str">
        <x:v>CTA 012180028720015359</x:v>
      </x:c>
      <x:c r="G495" s="19" t="str">
        <x:v>3107260 mz 24 lote 41 araceli meneses</x:v>
      </x:c>
      <x:c r="H495" s="20" t="str">
        <x:v>RASTREO MBAN01002608210095083706</x:v>
      </x:c>
      <x:c r="I495" s="19" t="str">
        <x:v>DEPOSITO SPEI | ARACELI MENESES DE LA ROSA | BBVA MEXICO 012180028720015359 | 3107260 mz 24 lote 41 araceli meneses | CLAVE DE RASTREO MBAN01002608210095083706</x:v>
      </x:c>
      <x:c r="J495" s="21"/>
      <x:c r="K495" s="21" t="n">
        <x:v>3044</x:v>
      </x:c>
      <x:c r="L495" s="21" t="n">
        <x:v>510275.1</x:v>
      </x:c>
      <x:c r="M495" s="22" t="n">
        <x:v>47</x:v>
      </x:c>
    </x:row>
    <x:row r="496" ht="30" customHeight="1">
      <x:c r="A496" s="16" t="n">
        <x:v>46255</x:v>
      </x:c>
      <x:c r="B496" s="17" t="str">
        <x:v>4118015825</x:v>
      </x:c>
      <x:c r="C496" s="18" t="str">
        <x:v>DEPOSITO SPEI</x:v>
      </x:c>
      <x:c r="D496" s="18" t="str">
        <x:v>MARIO ERNESTO ANDRADE MATA</x:v>
      </x:c>
      <x:c r="E496" s="18" t="str">
        <x:v>BBVA MEXICO</x:v>
      </x:c>
      <x:c r="F496" s="17" t="str">
        <x:v>CTA 012180015494999374</x:v>
      </x:c>
      <x:c r="G496" s="19" t="str">
        <x:v>2206260 M16L67</x:v>
      </x:c>
      <x:c r="H496" s="20" t="str">
        <x:v>RASTREO MBAN01002608210096234320</x:v>
      </x:c>
      <x:c r="I496" s="19" t="str">
        <x:v>DEPOSITO SPEI | MARIO ERNESTO ANDRADE MATA | BBVA MEXICO 012180015494999374 | 2206260 M16L67 | CLAVE DE RASTREO MBAN01002608210096234320</x:v>
      </x:c>
      <x:c r="J496" s="21"/>
      <x:c r="K496" s="21" t="n">
        <x:v>78166</x:v>
      </x:c>
      <x:c r="L496" s="21" t="n">
        <x:v>588441.1</x:v>
      </x:c>
      <x:c r="M496" s="22" t="n">
        <x:v>47</x:v>
      </x:c>
    </x:row>
    <x:row r="497" ht="30" customHeight="1">
      <x:c r="A497" s="16" t="n">
        <x:v>46255</x:v>
      </x:c>
      <x:c r="B497" s="17" t="str">
        <x:v>4118210277</x:v>
      </x:c>
      <x:c r="C497" s="18" t="str">
        <x:v>DEPOSITO SPEI</x:v>
      </x:c>
      <x:c r="D497" s="18" t="str">
        <x:v>LUIS ALEJANDRO RAMIREZ GALAVIZ</x:v>
      </x:c>
      <x:c r="E497" s="18" t="str">
        <x:v>SANTANDER</x:v>
      </x:c>
      <x:c r="F497" s="17" t="str">
        <x:v>CTA 014040569021083933</x:v>
      </x:c>
      <x:c r="G497" s="19" t="str">
        <x:v>6527128 MZNA 26 LOTE 5</x:v>
      </x:c>
      <x:c r="H497" s="20" t="str">
        <x:v>RASTREO 2026082140014BMOVP000464649050</x:v>
      </x:c>
      <x:c r="I497" s="19" t="str">
        <x:v>DEPOSITO SPEI | LUIS ALEJANDRO RAMIREZ GALAVIZ | SANTANDER 014040569021083933 | 6527128 MZNA 26 LOTE 5 | CLAVE DE RASTREO 2026082140014BMOVP000464649050</x:v>
      </x:c>
      <x:c r="J497" s="21"/>
      <x:c r="K497" s="21" t="n">
        <x:v>1600</x:v>
      </x:c>
      <x:c r="L497" s="21" t="n">
        <x:v>590041.1</x:v>
      </x:c>
      <x:c r="M497" s="22" t="n">
        <x:v>47</x:v>
      </x:c>
    </x:row>
    <x:row r="498" ht="30" customHeight="1">
      <x:c r="A498" s="16" t="n">
        <x:v>46255</x:v>
      </x:c>
      <x:c r="B498" s="17" t="str">
        <x:v>4118370826</x:v>
      </x:c>
      <x:c r="C498" s="18" t="str">
        <x:v>DEPOSITO SPEI</x:v>
      </x:c>
      <x:c r="D498" s="18" t="str">
        <x:v>YESENIA GUADALUPE JAIMES LARA</x:v>
      </x:c>
      <x:c r="E498" s="18" t="str">
        <x:v>BBVA MEXICO</x:v>
      </x:c>
      <x:c r="F498" s="17" t="str">
        <x:v>CTA 012040015055974179</x:v>
      </x:c>
      <x:c r="G498" s="19" t="str">
        <x:v>1707260 Pago</x:v>
      </x:c>
      <x:c r="H498" s="20" t="str">
        <x:v>RASTREO MBAN01002608240098151240</x:v>
      </x:c>
      <x:c r="I498" s="19" t="str">
        <x:v>DEPOSITO SPEI | YESENIA GUADALUPE JAIMES LARA | BBVA MEXICO 012040015055974179 | 1707260 Pago | CLAVE DE RASTREO MBAN01002608240098151240</x:v>
      </x:c>
      <x:c r="J498" s="21"/>
      <x:c r="K498" s="21" t="n">
        <x:v>2490</x:v>
      </x:c>
      <x:c r="L498" s="21" t="n">
        <x:v>592531.1</x:v>
      </x:c>
      <x:c r="M498" s="22" t="n">
        <x:v>47</x:v>
      </x:c>
    </x:row>
    <x:row r="499" ht="30" customHeight="1">
      <x:c r="A499" s="16" t="n">
        <x:v>46256</x:v>
      </x:c>
      <x:c r="B499" s="17" t="str">
        <x:v>4118756991</x:v>
      </x:c>
      <x:c r="C499" s="18" t="str">
        <x:v>DEPOSITO SPEI</x:v>
      </x:c>
      <x:c r="D499" s="18" t="str">
        <x:v>ISELA GUADALUPE RIVERA LUGO</x:v>
      </x:c>
      <x:c r="E499" s="18" t="str">
        <x:v>BANCOPPEL</x:v>
      </x:c>
      <x:c r="F499" s="17" t="str">
        <x:v>CTA 137743100767847403</x:v>
      </x:c>
      <x:c r="G499" s="19" t="str">
        <x:v>2208261 M29 L2 Isela G Rivera Lugo</x:v>
      </x:c>
      <x:c r="H499" s="20" t="str">
        <x:v>RASTREO 50117403TRANSBPI36799442</x:v>
      </x:c>
      <x:c r="I499" s="19" t="str">
        <x:v>DEPOSITO SPEI | ISELA GUADALUPE RIVERA LUGO | BANCOPPEL 137743100767847403 | 2208261 M29 L2 Isela G Rivera Lugo | CLAVE DE RASTREO 50117403TRANSBPI36799442</x:v>
      </x:c>
      <x:c r="J499" s="21"/>
      <x:c r="K499" s="21" t="n">
        <x:v>1500</x:v>
      </x:c>
      <x:c r="L499" s="21" t="n">
        <x:v>594031.1</x:v>
      </x:c>
      <x:c r="M499" s="22" t="n">
        <x:v>47</x:v>
      </x:c>
    </x:row>
    <x:row r="500" ht="30" customHeight="1">
      <x:c r="A500" s="16" t="n">
        <x:v>46256</x:v>
      </x:c>
      <x:c r="B500" s="17" t="str">
        <x:v>4118788035</x:v>
      </x:c>
      <x:c r="C500" s="18" t="str">
        <x:v>DEPOSITO SPEI</x:v>
      </x:c>
      <x:c r="D500" s="18" t="str">
        <x:v>RAMIREZ JAUREGUI NICOLAS</x:v>
      </x:c>
      <x:c r="E500" s="18" t="str">
        <x:v>AZTECA</x:v>
      </x:c>
      <x:c r="F500" s="17" t="str">
        <x:v>CTA 127040013310986896</x:v>
      </x:c>
      <x:c r="G500" s="19" t="str">
        <x:v>1059321 palo ve m13 Lote 16</x:v>
      </x:c>
      <x:c r="H500" s="20" t="str">
        <x:v>RASTREO 260824070772112552I</x:v>
      </x:c>
      <x:c r="I500" s="19" t="str">
        <x:v>DEPOSITO SPEI | RAMIREZ JAUREGUI NICOLAS | AZTECA 127040013310986896 | 1059321 palo ve m13 Lote 16 | CLAVE DE RASTREO 260824070772112552I</x:v>
      </x:c>
      <x:c r="J500" s="21"/>
      <x:c r="K500" s="21" t="n">
        <x:v>1000</x:v>
      </x:c>
      <x:c r="L500" s="21" t="n">
        <x:v>595031.1</x:v>
      </x:c>
      <x:c r="M500" s="22" t="n">
        <x:v>47</x:v>
      </x:c>
    </x:row>
    <x:row r="501" ht="30" customHeight="1">
      <x:c r="A501" s="16" t="n">
        <x:v>46256</x:v>
      </x:c>
      <x:c r="B501" s="17" t="str">
        <x:v>4118962084</x:v>
      </x:c>
      <x:c r="C501" s="18" t="str">
        <x:v>DEPOSITO SPEI</x:v>
      </x:c>
      <x:c r="D501" s="18" t="str">
        <x:v>ADELINA SUHEILY CRUZ CASTRO</x:v>
      </x:c>
      <x:c r="E501" s="18" t="str">
        <x:v>BANCOPPEL</x:v>
      </x:c>
      <x:c r="F501" s="17" t="str">
        <x:v>CTA 137040104723269326</x:v>
      </x:c>
      <x:c r="G501" s="19" t="str">
        <x:v>2208260 Transf. a CARLOS AZAEL ARAUZA ROSAS</x:v>
      </x:c>
      <x:c r="H501" s="20" t="str">
        <x:v>RASTREO 50119326TRANSBPI39057056</x:v>
      </x:c>
      <x:c r="I501" s="19" t="str">
        <x:v>DEPOSITO SPEI | ADELINA SUHEILY CRUZ CASTRO | BANCOPPEL 137040104723269326 | 2208260 Transf. a CARLOS AZAEL ARAUZA ROSAS | CLAVE DE RASTREO 50119326TRANSBPI39057056</x:v>
      </x:c>
      <x:c r="J501" s="21"/>
      <x:c r="K501" s="21" t="n">
        <x:v>2100</x:v>
      </x:c>
      <x:c r="L501" s="21" t="n">
        <x:v>597131.1</x:v>
      </x:c>
      <x:c r="M501" s="22" t="n">
        <x:v>47</x:v>
      </x:c>
    </x:row>
    <x:row r="502" ht="30" customHeight="1">
      <x:c r="A502" s="16" t="n">
        <x:v>46256</x:v>
      </x:c>
      <x:c r="B502" s="17" t="str">
        <x:v>4119077733</x:v>
      </x:c>
      <x:c r="C502" s="18" t="str">
        <x:v>DEPOSITO SPEI</x:v>
      </x:c>
      <x:c r="D502" s="18" t="str">
        <x:v>EMMANUEL SANTOS MARTINEZ</x:v>
      </x:c>
      <x:c r="E502" s="18" t="str">
        <x:v>BANCOPPEL</x:v>
      </x:c>
      <x:c r="F502" s="17" t="str">
        <x:v>CTA 137061104794698361</x:v>
      </x:c>
      <x:c r="G502" s="19" t="str">
        <x:v>2208260 Manzana23 lot.5</x:v>
      </x:c>
      <x:c r="H502" s="20" t="str">
        <x:v>RASTREO 50118361TRANSBPI39976028</x:v>
      </x:c>
      <x:c r="I502" s="19" t="str">
        <x:v>DEPOSITO SPEI | EMMANUEL SANTOS MARTINEZ | BANCOPPEL 137061104794698361 | 2208260 Manzana23 lot.5 | CLAVE DE RASTREO 50118361TRANSBPI39976028</x:v>
      </x:c>
      <x:c r="J502" s="21"/>
      <x:c r="K502" s="21" t="n">
        <x:v>1500</x:v>
      </x:c>
      <x:c r="L502" s="21" t="n">
        <x:v>598631.1</x:v>
      </x:c>
      <x:c r="M502" s="22" t="n">
        <x:v>48</x:v>
      </x:c>
    </x:row>
    <x:row r="503" ht="30" customHeight="1">
      <x:c r="A503" s="16" t="n">
        <x:v>46256</x:v>
      </x:c>
      <x:c r="B503" s="17" t="str">
        <x:v>4119134544</x:v>
      </x:c>
      <x:c r="C503" s="18" t="str">
        <x:v>DEPOSITO SPEI</x:v>
      </x:c>
      <x:c r="D503" s="18" t="str">
        <x:v>TONCHE GONZALEZ MARIA NOELIA</x:v>
      </x:c>
      <x:c r="E503" s="18" t="str">
        <x:v>AZTECA</x:v>
      </x:c>
      <x:c r="F503" s="17" t="str">
        <x:v>CTA 127040013093679776</x:v>
      </x:c>
      <x:c r="G503" s="19" t="str">
        <x:v>1059321 M 21 L 13</x:v>
      </x:c>
      <x:c r="H503" s="20" t="str">
        <x:v>RASTREO 260824070774764535I</x:v>
      </x:c>
      <x:c r="I503" s="19" t="str">
        <x:v>DEPOSITO SPEI | TONCHE GONZALEZ MARIA NOELIA | AZTECA 127040013093679776 | 1059321 M 21 L 13 | CLAVE DE RASTREO 260824070774764535I</x:v>
      </x:c>
      <x:c r="J503" s="21"/>
      <x:c r="K503" s="21" t="n">
        <x:v>1500</x:v>
      </x:c>
      <x:c r="L503" s="21" t="n">
        <x:v>600131.1</x:v>
      </x:c>
      <x:c r="M503" s="22" t="n">
        <x:v>48</x:v>
      </x:c>
    </x:row>
    <x:row r="504" ht="30" customHeight="1">
      <x:c r="A504" s="16" t="n">
        <x:v>46256</x:v>
      </x:c>
      <x:c r="B504" s="17" t="str">
        <x:v>4119188966</x:v>
      </x:c>
      <x:c r="C504" s="18" t="str">
        <x:v>DEPOSITO SPEI</x:v>
      </x:c>
      <x:c r="D504" s="18" t="str">
        <x:v>GUADALUPE ROJAS SANDOVAL</x:v>
      </x:c>
      <x:c r="E504" s="18" t="str">
        <x:v>BANCOPPEL</x:v>
      </x:c>
      <x:c r="F504" s="17" t="str">
        <x:v>CTA 137669100171788012</x:v>
      </x:c>
      <x:c r="G504" s="19" t="str">
        <x:v>2208262 palo verde m23 l11</x:v>
      </x:c>
      <x:c r="H504" s="20" t="str">
        <x:v>RASTREO 50118012TRANSBPI41909128</x:v>
      </x:c>
      <x:c r="I504" s="19" t="str">
        <x:v>DEPOSITO SPEI | GUADALUPE ROJAS SANDOVAL | BANCOPPEL 137669100171788012 | 2208262 palo verde m23 l11 | CLAVE DE RASTREO 50118012TRANSBPI41909128</x:v>
      </x:c>
      <x:c r="J504" s="21"/>
      <x:c r="K504" s="21" t="n">
        <x:v>2587</x:v>
      </x:c>
      <x:c r="L504" s="21" t="n">
        <x:v>602718.1</x:v>
      </x:c>
      <x:c r="M504" s="22" t="n">
        <x:v>48</x:v>
      </x:c>
    </x:row>
    <x:row r="505" ht="30" customHeight="1">
      <x:c r="A505" s="16" t="n">
        <x:v>46256</x:v>
      </x:c>
      <x:c r="B505" s="17" t="str">
        <x:v>4119316750</x:v>
      </x:c>
      <x:c r="C505" s="18" t="str">
        <x:v>DEPOSITO SPEI</x:v>
      </x:c>
      <x:c r="D505" s="18" t="str">
        <x:v>MARSANDRA ALMAGUER COSIO</x:v>
      </x:c>
      <x:c r="E505" s="18" t="str">
        <x:v>BANCOPPEL</x:v>
      </x:c>
      <x:c r="F505" s="17" t="str">
        <x:v>CTA 137061104563774209</x:v>
      </x:c>
      <x:c r="G505" s="19" t="str">
        <x:v>2208261 Marsandra almaguer M2 L7</x:v>
      </x:c>
      <x:c r="H505" s="20" t="str">
        <x:v>RASTREO 50114209TRANSBPI44055287</x:v>
      </x:c>
      <x:c r="I505" s="19" t="str">
        <x:v>DEPOSITO SPEI | MARSANDRA ALMAGUER COSIO | BANCOPPEL 137061104563774209 | 2208261 Marsandra almaguer M2 L7 | CLAVE DE RASTREO 50114209TRANSBPI44055287</x:v>
      </x:c>
      <x:c r="J505" s="21"/>
      <x:c r="K505" s="21" t="n">
        <x:v>2805</x:v>
      </x:c>
      <x:c r="L505" s="21" t="n">
        <x:v>605523.1</x:v>
      </x:c>
      <x:c r="M505" s="22" t="n">
        <x:v>48</x:v>
      </x:c>
    </x:row>
    <x:row r="506" ht="30" customHeight="1">
      <x:c r="A506" s="16" t="n">
        <x:v>46256</x:v>
      </x:c>
      <x:c r="B506" s="17" t="str">
        <x:v>4119330683</x:v>
      </x:c>
      <x:c r="C506" s="18" t="str">
        <x:v>DEPOSITO SPEI</x:v>
      </x:c>
      <x:c r="D506" s="18" t="str">
        <x:v>ELIU SOTO APOLINAR</x:v>
      </x:c>
      <x:c r="E506" s="18" t="str">
        <x:v>Mercado Pago W</x:v>
      </x:c>
      <x:c r="F506" s="17" t="str">
        <x:v>CTA 722969010067159361</x:v>
      </x:c>
      <x:c r="G506" s="19" t="str">
        <x:v>2097248 MERCADO*PAGO</x:v>
      </x:c>
      <x:c r="H506" s="20" t="str">
        <x:v>RASTREO CPO175192097248</x:v>
      </x:c>
      <x:c r="I506" s="19" t="str">
        <x:v>DEPOSITO SPEI | ELIU SOTO APOLINAR | Mercado Pago W 722969010067159361 | 2097248 MERCADO*PAGO | CLAVE DE RASTREO CPO175192097248</x:v>
      </x:c>
      <x:c r="J506" s="21"/>
      <x:c r="K506" s="21" t="n">
        <x:v>4776</x:v>
      </x:c>
      <x:c r="L506" s="21" t="n">
        <x:v>610299.1</x:v>
      </x:c>
      <x:c r="M506" s="22" t="n">
        <x:v>48</x:v>
      </x:c>
    </x:row>
    <x:row r="507" ht="30" customHeight="1">
      <x:c r="A507" s="16" t="n">
        <x:v>46256</x:v>
      </x:c>
      <x:c r="B507" s="17" t="str">
        <x:v>4119463840</x:v>
      </x:c>
      <x:c r="C507" s="18" t="str">
        <x:v>DEPOSITO SPEI</x:v>
      </x:c>
      <x:c r="D507" s="18" t="str">
        <x:v>HECTOR ANTONIO BERNARDINO LOPEZ</x:v>
      </x:c>
      <x:c r="E507" s="18" t="str">
        <x:v>BANCOPPEL</x:v>
      </x:c>
      <x:c r="F507" s="17" t="str">
        <x:v>CTA 137041105268260736</x:v>
      </x:c>
      <x:c r="G507" s="19" t="str">
        <x:v>2208260 Transf. a palo verde beatriz pena casti</x:v>
      </x:c>
      <x:c r="H507" s="20" t="str">
        <x:v>RASTREO 50110736TRANSBPI47050477</x:v>
      </x:c>
      <x:c r="I507" s="19" t="str">
        <x:v>DEPOSITO SPEI | HECTOR ANTONIO BERNARDINO LOPEZ | BANCOPPEL 137041105268260736 | 2208260 Transf. a palo verde beatriz pena casti | CLAVE DE RASTREO 50110736TRANSBPI47050477</x:v>
      </x:c>
      <x:c r="J507" s="21"/>
      <x:c r="K507" s="21" t="n">
        <x:v>2587</x:v>
      </x:c>
      <x:c r="L507" s="21" t="n">
        <x:v>612886.1</x:v>
      </x:c>
      <x:c r="M507" s="22" t="n">
        <x:v>48</x:v>
      </x:c>
    </x:row>
    <x:row r="508" ht="30" customHeight="1">
      <x:c r="A508" s="16" t="n">
        <x:v>46256</x:v>
      </x:c>
      <x:c r="B508" s="17" t="str">
        <x:v>4119504152</x:v>
      </x:c>
      <x:c r="C508" s="18" t="str">
        <x:v>DEPOSITO SPEI</x:v>
      </x:c>
      <x:c r="D508" s="18" t="str">
        <x:v>MIGUEL ANGEL PEREZ LOPEZ</x:v>
      </x:c>
      <x:c r="E508" s="18" t="str">
        <x:v>BANCOPPEL</x:v>
      </x:c>
      <x:c r="F508" s="17" t="str">
        <x:v>CTA 137040103459884209</x:v>
      </x:c>
      <x:c r="G508" s="19" t="str">
        <x:v>2208261 m.25 l.6 Miguel Angel Perez Lopez</x:v>
      </x:c>
      <x:c r="H508" s="20" t="str">
        <x:v>RASTREO 50114209TRANSBPI47925397</x:v>
      </x:c>
      <x:c r="I508" s="19" t="str">
        <x:v>DEPOSITO SPEI | MIGUEL ANGEL PEREZ LOPEZ | BANCOPPEL 137040103459884209 | 2208261 m.25 l.6 Miguel Angel Perez Lopez | CLAVE DE RASTREO 50114209TRANSBPI47925397</x:v>
      </x:c>
      <x:c r="J508" s="21"/>
      <x:c r="K508" s="21" t="n">
        <x:v>2588</x:v>
      </x:c>
      <x:c r="L508" s="21" t="n">
        <x:v>615474.1</x:v>
      </x:c>
      <x:c r="M508" s="22" t="n">
        <x:v>48</x:v>
      </x:c>
    </x:row>
    <x:row r="509" ht="30" customHeight="1">
      <x:c r="A509" s="16" t="n">
        <x:v>46257</x:v>
      </x:c>
      <x:c r="B509" s="17" t="str">
        <x:v>8202629372</x:v>
      </x:c>
      <x:c r="C509" s="18" t="str">
        <x:v>TRANSFERENCIA SPEI</x:v>
      </x:c>
      <x:c r="D509" s="18" t="str">
        <x:v>Chavira</x:v>
      </x:c>
      <x:c r="E509" s="18" t="str">
        <x:v>BANCOPPEL</x:v>
      </x:c>
      <x:c r="F509" s="17" t="str">
        <x:v>CTA 4169161431083582</x:v>
      </x:c>
      <x:c r="G509" s="19" t="str">
        <x:v>20260823 Pago | 036NAPP23082026293723826 RFC NO DISPONIBLE</x:v>
      </x:c>
      <x:c r="H509" s="20" t="str"/>
      <x:c r="I509" s="19" t="str">
        <x:v>TRANSFERENCIA SPEI | Chavira | BANCOPPEL 4169161431083582 | 20260823 Pago | 036NAPP23082026293723826 RFC NO DISPONIBLE</x:v>
      </x:c>
      <x:c r="J509" s="21" t="n">
        <x:v>30000</x:v>
      </x:c>
      <x:c r="K509" s="21"/>
      <x:c r="L509" s="21" t="n">
        <x:v>585474.1</x:v>
      </x:c>
      <x:c r="M509" s="22" t="n">
        <x:v>48</x:v>
      </x:c>
    </x:row>
    <x:row r="510" ht="30" customHeight="1">
      <x:c r="A510" s="16" t="n">
        <x:v>46257</x:v>
      </x:c>
      <x:c r="B510" s="17" t="str">
        <x:v>4120291742</x:v>
      </x:c>
      <x:c r="C510" s="18" t="str">
        <x:v>DEPOSITO SPEI</x:v>
      </x:c>
      <x:c r="D510" s="18" t="str">
        <x:v>LUCIA SANCHEZ JUAREZ</x:v>
      </x:c>
      <x:c r="E510" s="18" t="str">
        <x:v>NUBANK</x:v>
      </x:c>
      <x:c r="F510" s="17" t="str">
        <x:v>CTA 638180010159456573</x:v>
      </x:c>
      <x:c r="G510" s="19" t="str">
        <x:v>230826 Transferencia</x:v>
      </x:c>
      <x:c r="H510" s="20" t="str">
        <x:v>RASTREO NU3AHE3ASKGU8V8QLBN319BFTD4O</x:v>
      </x:c>
      <x:c r="I510" s="19" t="str">
        <x:v>DEPOSITO SPEI | LUCIA SANCHEZ JUAREZ | NUBANK 638180010159456573 | 230826 Transferencia | CLAVE DE RASTREO NU3AHE3ASKGU8V8QLBN319BFTD4O</x:v>
      </x:c>
      <x:c r="J510" s="21"/>
      <x:c r="K510" s="21" t="n">
        <x:v>5000</x:v>
      </x:c>
      <x:c r="L510" s="21" t="n">
        <x:v>590474.1</x:v>
      </x:c>
      <x:c r="M510" s="22" t="n">
        <x:v>48</x:v>
      </x:c>
    </x:row>
    <x:row r="511" ht="30" customHeight="1">
      <x:c r="A511" s="16" t="n">
        <x:v>46257</x:v>
      </x:c>
      <x:c r="B511" s="17" t="str">
        <x:v>4120483582</x:v>
      </x:c>
      <x:c r="C511" s="18" t="str">
        <x:v>DEPOSITO SPEI</x:v>
      </x:c>
      <x:c r="D511" s="18" t="str">
        <x:v>LIZETH GUADALUPE AGUIRRE CERDA</x:v>
      </x:c>
      <x:c r="E511" s="18" t="str">
        <x:v>BANCOPPEL</x:v>
      </x:c>
      <x:c r="F511" s="17" t="str">
        <x:v>CTA 137040102686654779</x:v>
      </x:c>
      <x:c r="G511" s="19" t="str">
        <x:v>2308261 PVD M16 L3</x:v>
      </x:c>
      <x:c r="H511" s="20" t="str">
        <x:v>RASTREO 50114779TRANSBPI63783107</x:v>
      </x:c>
      <x:c r="I511" s="19" t="str">
        <x:v>DEPOSITO SPEI | LIZETH GUADALUPE AGUIRRE CERDA | BANCOPPEL 137040102686654779 | 2308261 PVD M16 L3 | CLAVE DE RASTREO 50114779TRANSBPI63783107</x:v>
      </x:c>
      <x:c r="J511" s="21"/>
      <x:c r="K511" s="21" t="n">
        <x:v>1600</x:v>
      </x:c>
      <x:c r="L511" s="21" t="n">
        <x:v>592074.1</x:v>
      </x:c>
      <x:c r="M511" s="22" t="n">
        <x:v>48</x:v>
      </x:c>
    </x:row>
    <x:row r="512" ht="30" customHeight="1">
      <x:c r="A512" s="16" t="n">
        <x:v>46258</x:v>
      </x:c>
      <x:c r="B512" s="17" t="str">
        <x:v>4120904620</x:v>
      </x:c>
      <x:c r="C512" s="18" t="str">
        <x:v>PEREJIL SUSHI BAR MX</x:v>
      </x:c>
      <x:c r="D512" s="18" t="str"/>
      <x:c r="E512" s="18" t="str"/>
      <x:c r="F512" s="17" t="str"/>
      <x:c r="G512" s="19" t="str"/>
      <x:c r="H512" s="20" t="str"/>
      <x:c r="I512" s="19" t="str">
        <x:v>PEREJIL SUSHI BAR MX</x:v>
      </x:c>
      <x:c r="J512" s="21" t="n">
        <x:v>3912</x:v>
      </x:c>
      <x:c r="K512" s="21"/>
      <x:c r="L512" s="21" t="n">
        <x:v>588162.1</x:v>
      </x:c>
      <x:c r="M512" s="22" t="n">
        <x:v>49</x:v>
      </x:c>
    </x:row>
    <x:row r="513" ht="30" customHeight="1">
      <x:c r="A513" s="16" t="n">
        <x:v>46258</x:v>
      </x:c>
      <x:c r="B513" s="17" t="str">
        <x:v>4120904638</x:v>
      </x:c>
      <x:c r="C513" s="18" t="str">
        <x:v>PEREJIL SUSHI BAR MX</x:v>
      </x:c>
      <x:c r="D513" s="18" t="str"/>
      <x:c r="E513" s="18" t="str"/>
      <x:c r="F513" s="17" t="str"/>
      <x:c r="G513" s="19" t="str"/>
      <x:c r="H513" s="20" t="str"/>
      <x:c r="I513" s="19" t="str">
        <x:v>PEREJIL SUSHI BAR MX</x:v>
      </x:c>
      <x:c r="J513" s="21" t="n">
        <x:v>708</x:v>
      </x:c>
      <x:c r="K513" s="21"/>
      <x:c r="L513" s="21" t="n">
        <x:v>587454.1</x:v>
      </x:c>
      <x:c r="M513" s="22" t="n">
        <x:v>49</x:v>
      </x:c>
    </x:row>
    <x:row r="514" ht="30" customHeight="1">
      <x:c r="A514" s="16" t="n">
        <x:v>46258</x:v>
      </x:c>
      <x:c r="B514" s="17" t="str">
        <x:v>4120904652</x:v>
      </x:c>
      <x:c r="C514" s="18" t="str">
        <x:v>MILAB LAB CLINICO MX</x:v>
      </x:c>
      <x:c r="D514" s="18" t="str"/>
      <x:c r="E514" s="18" t="str"/>
      <x:c r="F514" s="17" t="str"/>
      <x:c r="G514" s="19" t="str"/>
      <x:c r="H514" s="20" t="str"/>
      <x:c r="I514" s="19" t="str">
        <x:v>MILAB LAB CLINICO MX</x:v>
      </x:c>
      <x:c r="J514" s="21" t="n">
        <x:v>600</x:v>
      </x:c>
      <x:c r="K514" s="21"/>
      <x:c r="L514" s="21" t="n">
        <x:v>586854.1</x:v>
      </x:c>
      <x:c r="M514" s="22" t="n">
        <x:v>49</x:v>
      </x:c>
    </x:row>
    <x:row r="515" ht="30" customHeight="1">
      <x:c r="A515" s="16" t="n">
        <x:v>46258</x:v>
      </x:c>
      <x:c r="B515" s="17" t="str">
        <x:v>4120904667</x:v>
      </x:c>
      <x:c r="C515" s="18" t="str">
        <x:v>MERCADO PAGO TPV MX</x:v>
      </x:c>
      <x:c r="D515" s="18" t="str"/>
      <x:c r="E515" s="18" t="str"/>
      <x:c r="F515" s="17" t="str"/>
      <x:c r="G515" s="19" t="str"/>
      <x:c r="H515" s="20" t="str"/>
      <x:c r="I515" s="19" t="str">
        <x:v>MERCADO PAGO TPV MX</x:v>
      </x:c>
      <x:c r="J515" s="21" t="n">
        <x:v>1254</x:v>
      </x:c>
      <x:c r="K515" s="21"/>
      <x:c r="L515" s="21" t="n">
        <x:v>585600.1</x:v>
      </x:c>
      <x:c r="M515" s="22" t="n">
        <x:v>49</x:v>
      </x:c>
    </x:row>
    <x:row r="516" ht="30" customHeight="1">
      <x:c r="A516" s="16" t="n">
        <x:v>46258</x:v>
      </x:c>
      <x:c r="B516" s="17" t="str">
        <x:v>4120904682</x:v>
      </x:c>
      <x:c r="C516" s="18" t="str">
        <x:v>CARN QUESISIMO MX</x:v>
      </x:c>
      <x:c r="D516" s="18" t="str"/>
      <x:c r="E516" s="18" t="str"/>
      <x:c r="F516" s="17" t="str"/>
      <x:c r="G516" s="19" t="str"/>
      <x:c r="H516" s="20" t="str"/>
      <x:c r="I516" s="19" t="str">
        <x:v>CARN QUESISIMO MX</x:v>
      </x:c>
      <x:c r="J516" s="21" t="n">
        <x:v>1547.24</x:v>
      </x:c>
      <x:c r="K516" s="21"/>
      <x:c r="L516" s="21" t="n">
        <x:v>584052.86</x:v>
      </x:c>
      <x:c r="M516" s="22" t="n">
        <x:v>49</x:v>
      </x:c>
    </x:row>
    <x:row r="517" ht="30" customHeight="1">
      <x:c r="A517" s="16" t="n">
        <x:v>46258</x:v>
      </x:c>
      <x:c r="B517" s="17" t="str">
        <x:v>4120904698</x:v>
      </x:c>
      <x:c r="C517" s="18" t="str">
        <x:v>CHEDRAUI 126 PALACIO MX</x:v>
      </x:c>
      <x:c r="D517" s="18" t="str"/>
      <x:c r="E517" s="18" t="str"/>
      <x:c r="F517" s="17" t="str"/>
      <x:c r="G517" s="19" t="str"/>
      <x:c r="H517" s="20" t="str"/>
      <x:c r="I517" s="19" t="str">
        <x:v>CHEDRAUI 126 PALACIO MX</x:v>
      </x:c>
      <x:c r="J517" s="21" t="n">
        <x:v>873.45</x:v>
      </x:c>
      <x:c r="K517" s="21"/>
      <x:c r="L517" s="21" t="n">
        <x:v>583179.41</x:v>
      </x:c>
      <x:c r="M517" s="22" t="n">
        <x:v>49</x:v>
      </x:c>
    </x:row>
    <x:row r="518" ht="30" customHeight="1">
      <x:c r="A518" s="16" t="n">
        <x:v>46258</x:v>
      </x:c>
      <x:c r="B518" s="17" t="str">
        <x:v>4120904712</x:v>
      </x:c>
      <x:c r="C518" s="18" t="str">
        <x:v>OOMSAPAS LA PAZ CR MX</x:v>
      </x:c>
      <x:c r="D518" s="18" t="str"/>
      <x:c r="E518" s="18" t="str"/>
      <x:c r="F518" s="17" t="str"/>
      <x:c r="G518" s="19" t="str"/>
      <x:c r="H518" s="20" t="str"/>
      <x:c r="I518" s="19" t="str">
        <x:v>OOMSAPAS LA PAZ CR MX</x:v>
      </x:c>
      <x:c r="J518" s="21" t="n">
        <x:v>1036.5</x:v>
      </x:c>
      <x:c r="K518" s="21"/>
      <x:c r="L518" s="21" t="n">
        <x:v>582142.91</x:v>
      </x:c>
      <x:c r="M518" s="22" t="n">
        <x:v>49</x:v>
      </x:c>
    </x:row>
    <x:row r="519" ht="30" customHeight="1">
      <x:c r="A519" s="16" t="n">
        <x:v>46258</x:v>
      </x:c>
      <x:c r="B519" s="17" t="str">
        <x:v>4120904727</x:v>
      </x:c>
      <x:c r="C519" s="18" t="str">
        <x:v>330 CHED LA PAZ ARAMBU MX</x:v>
      </x:c>
      <x:c r="D519" s="18" t="str"/>
      <x:c r="E519" s="18" t="str"/>
      <x:c r="F519" s="17" t="str"/>
      <x:c r="G519" s="19" t="str"/>
      <x:c r="H519" s="20" t="str"/>
      <x:c r="I519" s="19" t="str">
        <x:v>330 CHED LA PAZ ARAMBU MX</x:v>
      </x:c>
      <x:c r="J519" s="21" t="n">
        <x:v>2633.24</x:v>
      </x:c>
      <x:c r="K519" s="21"/>
      <x:c r="L519" s="21" t="n">
        <x:v>579509.67</x:v>
      </x:c>
      <x:c r="M519" s="22" t="n">
        <x:v>49</x:v>
      </x:c>
    </x:row>
    <x:row r="520" ht="30" customHeight="1">
      <x:c r="A520" s="16" t="n">
        <x:v>46258</x:v>
      </x:c>
      <x:c r="B520" s="17" t="str">
        <x:v>4120904742</x:v>
      </x:c>
      <x:c r="C520" s="18" t="str">
        <x:v>GASO OLACHEA MX</x:v>
      </x:c>
      <x:c r="D520" s="18" t="str"/>
      <x:c r="E520" s="18" t="str"/>
      <x:c r="F520" s="17" t="str"/>
      <x:c r="G520" s="19" t="str"/>
      <x:c r="H520" s="20" t="str"/>
      <x:c r="I520" s="19" t="str">
        <x:v>GASO OLACHEA MX</x:v>
      </x:c>
      <x:c r="J520" s="21" t="n">
        <x:v>300</x:v>
      </x:c>
      <x:c r="K520" s="21"/>
      <x:c r="L520" s="21" t="n">
        <x:v>579209.67</x:v>
      </x:c>
      <x:c r="M520" s="22" t="n">
        <x:v>49</x:v>
      </x:c>
    </x:row>
    <x:row r="521" ht="30" customHeight="1">
      <x:c r="A521" s="16" t="n">
        <x:v>46258</x:v>
      </x:c>
      <x:c r="B521" s="17" t="str">
        <x:v>4120904757</x:v>
      </x:c>
      <x:c r="C521" s="18" t="str">
        <x:v>TORII SUSHI BAR MX</x:v>
      </x:c>
      <x:c r="D521" s="18" t="str"/>
      <x:c r="E521" s="18" t="str"/>
      <x:c r="F521" s="17" t="str"/>
      <x:c r="G521" s="19" t="str"/>
      <x:c r="H521" s="20" t="str"/>
      <x:c r="I521" s="19" t="str">
        <x:v>TORII SUSHI BAR MX</x:v>
      </x:c>
      <x:c r="J521" s="21" t="n">
        <x:v>1056</x:v>
      </x:c>
      <x:c r="K521" s="21"/>
      <x:c r="L521" s="21" t="n">
        <x:v>578153.67</x:v>
      </x:c>
      <x:c r="M521" s="22" t="n">
        <x:v>49</x:v>
      </x:c>
    </x:row>
    <x:row r="522" ht="30" customHeight="1">
      <x:c r="A522" s="16" t="n">
        <x:v>46258</x:v>
      </x:c>
      <x:c r="B522" s="17" t="str">
        <x:v>4121528539</x:v>
      </x:c>
      <x:c r="C522" s="18" t="str">
        <x:v>DEPOSITO SPEI</x:v>
      </x:c>
      <x:c r="D522" s="18" t="str">
        <x:v>MARIA GUADALUPE LEAL HERNANDEZ</x:v>
      </x:c>
      <x:c r="E522" s="18" t="str">
        <x:v>Mercado Pago W</x:v>
      </x:c>
      <x:c r="F522" s="17" t="str">
        <x:v>CTA 722969020508400462</x:v>
      </x:c>
      <x:c r="G522" s="19" t="str">
        <x:v>9427914 MERCADO*PAGO</x:v>
      </x:c>
      <x:c r="H522" s="20" t="str">
        <x:v>RASTREO CPO175419427914</x:v>
      </x:c>
      <x:c r="I522" s="19" t="str">
        <x:v>DEPOSITO SPEI | MARIA GUADALUPE LEAL HERNANDEZ | Mercado Pago W 722969020508400462 | 9427914 MERCADO*PAGO | CLAVE DE RASTREO CPO175419427914</x:v>
      </x:c>
      <x:c r="J522" s="21"/>
      <x:c r="K522" s="21" t="n">
        <x:v>1500</x:v>
      </x:c>
      <x:c r="L522" s="21" t="n">
        <x:v>579653.67</x:v>
      </x:c>
      <x:c r="M522" s="22" t="n">
        <x:v>49</x:v>
      </x:c>
    </x:row>
    <x:row r="523" ht="30" customHeight="1">
      <x:c r="A523" s="16" t="n">
        <x:v>46258</x:v>
      </x:c>
      <x:c r="B523" s="17" t="str">
        <x:v>8202629382</x:v>
      </x:c>
      <x:c r="C523" s="18" t="str">
        <x:v>TRANSFERENCIA SPEI</x:v>
      </x:c>
      <x:c r="D523" s="18" t="str">
        <x:v>Brayan Sandoval</x:v>
      </x:c>
      <x:c r="E523" s="18" t="str">
        <x:v>BANORTE</x:v>
      </x:c>
      <x:c r="F523" s="17" t="str">
        <x:v>CTA 072040013209267331</x:v>
      </x:c>
      <x:c r="G523" s="19" t="str">
        <x:v>20260824 Pago paneles solares | 036NAPP24082026293828420 RFC NO DISPONIBLE</x:v>
      </x:c>
      <x:c r="H523" s="20" t="str"/>
      <x:c r="I523" s="19" t="str">
        <x:v>TRANSFERENCIA SPEI | Brayan Sandoval | BANORTE 072040013209267331 | 20260824 Pago paneles solares | 036NAPP24082026293828420 RFC NO DISPONIBLE</x:v>
      </x:c>
      <x:c r="J523" s="21" t="n">
        <x:v>110000</x:v>
      </x:c>
      <x:c r="K523" s="21"/>
      <x:c r="L523" s="21" t="n">
        <x:v>469653.67</x:v>
      </x:c>
      <x:c r="M523" s="22" t="n">
        <x:v>49</x:v>
      </x:c>
    </x:row>
    <x:row r="524" ht="30" customHeight="1">
      <x:c r="A524" s="16" t="n">
        <x:v>46258</x:v>
      </x:c>
      <x:c r="B524" s="17" t="str">
        <x:v>8202629383</x:v>
      </x:c>
      <x:c r="C524" s="18" t="str">
        <x:v>TRANSFERENCIA SPEI</x:v>
      </x:c>
      <x:c r="D524" s="18" t="str">
        <x:v>FYMSA BAJA SUR SRL DE CV</x:v>
      </x:c>
      <x:c r="E524" s="18" t="str">
        <x:v>BBVA MEXICO</x:v>
      </x:c>
      <x:c r="F524" s="17" t="str">
        <x:v>CTA 012040001171445392</x:v>
      </x:c>
      <x:c r="G524" s="19" t="str">
        <x:v>20260824 Pago | 036NAPP24082026293837600 RFC NO DISPONIBLE</x:v>
      </x:c>
      <x:c r="H524" s="20" t="str"/>
      <x:c r="I524" s="19" t="str">
        <x:v>TRANSFERENCIA SPEI | FYMSA BAJA SUR SRL DE CV | BBVA MEXICO 012040001171445392 | 20260824 Pago | 036NAPP24082026293837600 RFC NO DISPONIBLE</x:v>
      </x:c>
      <x:c r="J524" s="21" t="n">
        <x:v>15172.8</x:v>
      </x:c>
      <x:c r="K524" s="21"/>
      <x:c r="L524" s="21" t="n">
        <x:v>454480.87</x:v>
      </x:c>
      <x:c r="M524" s="22" t="n">
        <x:v>49</x:v>
      </x:c>
    </x:row>
    <x:row r="525" ht="30" customHeight="1">
      <x:c r="A525" s="16" t="n">
        <x:v>46258</x:v>
      </x:c>
      <x:c r="B525" s="17" t="str">
        <x:v>4121787710</x:v>
      </x:c>
      <x:c r="C525" s="18" t="str">
        <x:v>GAS EL ESTERITO MX</x:v>
      </x:c>
      <x:c r="D525" s="18" t="str"/>
      <x:c r="E525" s="18" t="str"/>
      <x:c r="F525" s="17" t="str"/>
      <x:c r="G525" s="19" t="str"/>
      <x:c r="H525" s="20" t="str"/>
      <x:c r="I525" s="19" t="str">
        <x:v>GAS EL ESTERITO MX</x:v>
      </x:c>
      <x:c r="J525" s="21" t="n">
        <x:v>400</x:v>
      </x:c>
      <x:c r="K525" s="21"/>
      <x:c r="L525" s="21" t="n">
        <x:v>454080.87</x:v>
      </x:c>
      <x:c r="M525" s="22" t="n">
        <x:v>49</x:v>
      </x:c>
    </x:row>
    <x:row r="526" ht="30" customHeight="1">
      <x:c r="A526" s="16" t="n">
        <x:v>46258</x:v>
      </x:c>
      <x:c r="B526" s="17" t="str">
        <x:v>8202629397</x:v>
      </x:c>
      <x:c r="C526" s="18" t="str">
        <x:v>TRANSFERENCIA SPEI</x:v>
      </x:c>
      <x:c r="D526" s="18" t="str">
        <x:v>Juana Lorena Cota</x:v>
      </x:c>
      <x:c r="E526" s="18" t="str">
        <x:v>BANAMEX</x:v>
      </x:c>
      <x:c r="F526" s="17" t="str">
        <x:v>CTA 5204167320652191</x:v>
      </x:c>
      <x:c r="G526" s="19" t="str">
        <x:v>20260824 Pago resto | 036NAPP24082026293971255 RFC NO DISPONIBLE</x:v>
      </x:c>
      <x:c r="H526" s="20" t="str"/>
      <x:c r="I526" s="19" t="str">
        <x:v>TRANSFERENCIA SPEI | Juana Lorena Cota | BANAMEX 5204167320652191 | 20260824 Pago resto | 036NAPP24082026293971255 RFC NO DISPONIBLE</x:v>
      </x:c>
      <x:c r="J526" s="21" t="n">
        <x:v>8000</x:v>
      </x:c>
      <x:c r="K526" s="21"/>
      <x:c r="L526" s="21" t="n">
        <x:v>446080.87</x:v>
      </x:c>
      <x:c r="M526" s="22" t="n">
        <x:v>49</x:v>
      </x:c>
    </x:row>
    <x:row r="527" ht="30" customHeight="1">
      <x:c r="A527" s="16" t="n">
        <x:v>46259</x:v>
      </x:c>
      <x:c r="B527" s="17" t="str">
        <x:v>4122519067</x:v>
      </x:c>
      <x:c r="C527" s="18" t="str">
        <x:v>UNIF MARIELOS MX</x:v>
      </x:c>
      <x:c r="D527" s="18" t="str"/>
      <x:c r="E527" s="18" t="str"/>
      <x:c r="F527" s="17" t="str"/>
      <x:c r="G527" s="19" t="str"/>
      <x:c r="H527" s="20" t="str"/>
      <x:c r="I527" s="19" t="str">
        <x:v>UNIF MARIELOS MX</x:v>
      </x:c>
      <x:c r="J527" s="21" t="n">
        <x:v>520</x:v>
      </x:c>
      <x:c r="K527" s="21"/>
      <x:c r="L527" s="21" t="n">
        <x:v>445560.87</x:v>
      </x:c>
      <x:c r="M527" s="22" t="n">
        <x:v>49</x:v>
      </x:c>
    </x:row>
    <x:row r="528" ht="30" customHeight="1">
      <x:c r="A528" s="16" t="n">
        <x:v>46259</x:v>
      </x:c>
      <x:c r="B528" s="17" t="str">
        <x:v>4122985661</x:v>
      </x:c>
      <x:c r="C528" s="18" t="str">
        <x:v>DEPOSITO SPEI</x:v>
      </x:c>
      <x:c r="D528" s="18" t="str">
        <x:v>ROCIO SELENE NUNEZ CORTEZ</x:v>
      </x:c>
      <x:c r="E528" s="18" t="str">
        <x:v>SANTANDER</x:v>
      </x:c>
      <x:c r="F528" s="17" t="str">
        <x:v>CTA 014040605977995220</x:v>
      </x:c>
      <x:c r="G528" s="19" t="str">
        <x:v>3639774 PVD M26 L28 SELENE NUNEZ</x:v>
      </x:c>
      <x:c r="H528" s="20" t="str">
        <x:v>RASTREO 2026082540014BMOVP000422893010</x:v>
      </x:c>
      <x:c r="I528" s="19" t="str">
        <x:v>DEPOSITO SPEI | ROCIO SELENE NUNEZ CORTEZ | SANTANDER 014040605977995220 | 3639774 PVD M26 L28 SELENE NUNEZ | CLAVE DE RASTREO 2026082540014BMOVP000422893010</x:v>
      </x:c>
      <x:c r="J528" s="21"/>
      <x:c r="K528" s="21" t="n">
        <x:v>3361</x:v>
      </x:c>
      <x:c r="L528" s="21" t="n">
        <x:v>448921.87</x:v>
      </x:c>
      <x:c r="M528" s="22" t="n">
        <x:v>49</x:v>
      </x:c>
    </x:row>
    <x:row r="529" ht="30" customHeight="1">
      <x:c r="A529" s="16" t="n">
        <x:v>46259</x:v>
      </x:c>
      <x:c r="B529" s="17" t="str">
        <x:v>4123116104</x:v>
      </x:c>
      <x:c r="C529" s="18" t="str">
        <x:v>DEPOSITO SPEI</x:v>
      </x:c>
      <x:c r="D529" s="18" t="str">
        <x:v>JOSE ALBERTO ROCHA MARTINEZ</x:v>
      </x:c>
      <x:c r="E529" s="18" t="str">
        <x:v>Mercado Pago W</x:v>
      </x:c>
      <x:c r="F529" s="17" t="str">
        <x:v>CTA 722969020356636970</x:v>
      </x:c>
      <x:c r="G529" s="19" t="str">
        <x:v>3946380 Anualidad PV MZ 26 Lt 6</x:v>
      </x:c>
      <x:c r="H529" s="20" t="str">
        <x:v>RASTREO CPO175593946380</x:v>
      </x:c>
      <x:c r="I529" s="19" t="str">
        <x:v>DEPOSITO SPEI | JOSE ALBERTO ROCHA MARTINEZ | Mercado Pago W 722969020356636970 | 3946380 Anualidad PV MZ 26 Lt 6 | CLAVE DE RASTREO CPO175593946380</x:v>
      </x:c>
      <x:c r="J529" s="21"/>
      <x:c r="K529" s="21" t="n">
        <x:v>17333.33</x:v>
      </x:c>
      <x:c r="L529" s="21" t="n">
        <x:v>466255.2</x:v>
      </x:c>
      <x:c r="M529" s="22" t="n">
        <x:v>50</x:v>
      </x:c>
    </x:row>
    <x:row r="530" ht="30" customHeight="1">
      <x:c r="A530" s="16" t="n">
        <x:v>46259</x:v>
      </x:c>
      <x:c r="B530" s="17" t="str">
        <x:v>4123142848</x:v>
      </x:c>
      <x:c r="C530" s="18" t="str">
        <x:v>PREPA JUAN PABLO II MX</x:v>
      </x:c>
      <x:c r="D530" s="18" t="str"/>
      <x:c r="E530" s="18" t="str"/>
      <x:c r="F530" s="17" t="str"/>
      <x:c r="G530" s="19" t="str"/>
      <x:c r="H530" s="20" t="str"/>
      <x:c r="I530" s="19" t="str">
        <x:v>PREPA JUAN PABLO II MX</x:v>
      </x:c>
      <x:c r="J530" s="21" t="n">
        <x:v>16350</x:v>
      </x:c>
      <x:c r="K530" s="21"/>
      <x:c r="L530" s="21" t="n">
        <x:v>449905.2</x:v>
      </x:c>
      <x:c r="M530" s="22" t="n">
        <x:v>50</x:v>
      </x:c>
    </x:row>
    <x:row r="531" ht="30" customHeight="1">
      <x:c r="A531" s="16" t="n">
        <x:v>46259</x:v>
      </x:c>
      <x:c r="B531" s="17" t="str">
        <x:v>4123142871</x:v>
      </x:c>
      <x:c r="C531" s="18" t="str">
        <x:v>PREPA JUAN PABLO II MX</x:v>
      </x:c>
      <x:c r="D531" s="18" t="str"/>
      <x:c r="E531" s="18" t="str"/>
      <x:c r="F531" s="17" t="str"/>
      <x:c r="G531" s="19" t="str"/>
      <x:c r="H531" s="20" t="str"/>
      <x:c r="I531" s="19" t="str">
        <x:v>PREPA JUAN PABLO II MX</x:v>
      </x:c>
      <x:c r="J531" s="21" t="n">
        <x:v>100</x:v>
      </x:c>
      <x:c r="K531" s="21"/>
      <x:c r="L531" s="21" t="n">
        <x:v>449805.2</x:v>
      </x:c>
      <x:c r="M531" s="22" t="n">
        <x:v>50</x:v>
      </x:c>
    </x:row>
    <x:row r="532" ht="30" customHeight="1">
      <x:c r="A532" s="16" t="n">
        <x:v>46259</x:v>
      </x:c>
      <x:c r="B532" s="17" t="str">
        <x:v>4123142902</x:v>
      </x:c>
      <x:c r="C532" s="18" t="str">
        <x:v>GAS EMILIANO ZAPATA MX</x:v>
      </x:c>
      <x:c r="D532" s="18" t="str"/>
      <x:c r="E532" s="18" t="str"/>
      <x:c r="F532" s="17" t="str"/>
      <x:c r="G532" s="19" t="str"/>
      <x:c r="H532" s="20" t="str"/>
      <x:c r="I532" s="19" t="str">
        <x:v>GAS EMILIANO ZAPATA MX</x:v>
      </x:c>
      <x:c r="J532" s="21" t="n">
        <x:v>300</x:v>
      </x:c>
      <x:c r="K532" s="21"/>
      <x:c r="L532" s="21" t="n">
        <x:v>449505.2</x:v>
      </x:c>
      <x:c r="M532" s="22" t="n">
        <x:v>50</x:v>
      </x:c>
    </x:row>
    <x:row r="533" ht="30" customHeight="1">
      <x:c r="A533" s="16" t="n">
        <x:v>46259</x:v>
      </x:c>
      <x:c r="B533" s="17" t="str">
        <x:v>4123142916</x:v>
      </x:c>
      <x:c r="C533" s="18" t="str">
        <x:v>OXXO ANTARES CEN MX</x:v>
      </x:c>
      <x:c r="D533" s="18" t="str"/>
      <x:c r="E533" s="18" t="str"/>
      <x:c r="F533" s="17" t="str"/>
      <x:c r="G533" s="19" t="str"/>
      <x:c r="H533" s="20" t="str"/>
      <x:c r="I533" s="19" t="str">
        <x:v>OXXO ANTARES CEN MX</x:v>
      </x:c>
      <x:c r="J533" s="21" t="n">
        <x:v>134</x:v>
      </x:c>
      <x:c r="K533" s="21"/>
      <x:c r="L533" s="21" t="n">
        <x:v>449371.2</x:v>
      </x:c>
      <x:c r="M533" s="22" t="n">
        <x:v>50</x:v>
      </x:c>
    </x:row>
    <x:row r="534" ht="30" customHeight="1">
      <x:c r="A534" s="16" t="n">
        <x:v>46259</x:v>
      </x:c>
      <x:c r="B534" s="17" t="str">
        <x:v>4123161940</x:v>
      </x:c>
      <x:c r="C534" s="18" t="str">
        <x:v>DEPOSITO SPEI</x:v>
      </x:c>
      <x:c r="D534" s="18" t="str">
        <x:v>SANCHEZ SOLORZANO ARI GERARDO</x:v>
      </x:c>
      <x:c r="E534" s="18" t="str">
        <x:v>AZTECA</x:v>
      </x:c>
      <x:c r="F534" s="17" t="str">
        <x:v>CTA 127040013099547828</x:v>
      </x:c>
      <x:c r="G534" s="19" t="str">
        <x:v>1059321 MZ 13 L15 GERARDO ANUALIDAD</x:v>
      </x:c>
      <x:c r="H534" s="20" t="str">
        <x:v>RASTREO 260825010806331971I</x:v>
      </x:c>
      <x:c r="I534" s="19" t="str">
        <x:v>DEPOSITO SPEI | SANCHEZ SOLORZANO ARI GERARDO | AZTECA 127040013099547828 | 1059321 MZ 13 L15 GERARDO ANUALIDAD | CLAVE DE RASTREO 260825010806331971I</x:v>
      </x:c>
      <x:c r="J534" s="21"/>
      <x:c r="K534" s="21" t="n">
        <x:v>3166</x:v>
      </x:c>
      <x:c r="L534" s="21" t="n">
        <x:v>452537.2</x:v>
      </x:c>
      <x:c r="M534" s="22" t="n">
        <x:v>50</x:v>
      </x:c>
    </x:row>
    <x:row r="535" ht="30" customHeight="1">
      <x:c r="A535" s="16" t="n">
        <x:v>46259</x:v>
      </x:c>
      <x:c r="B535" s="17" t="str">
        <x:v>4123670851</x:v>
      </x:c>
      <x:c r="C535" s="18" t="str">
        <x:v>DEPOSITO SPEI</x:v>
      </x:c>
      <x:c r="D535" s="18" t="str">
        <x:v>YESICA SELENI COTA CORREA</x:v>
      </x:c>
      <x:c r="E535" s="18" t="str">
        <x:v>BANORTE</x:v>
      </x:c>
      <x:c r="F535" s="17" t="str">
        <x:v>CTA 072730013002955891</x:v>
      </x:c>
      <x:c r="G535" s="19" t="str">
        <x:v>260825 M 26 L 31 Yesica Cota</x:v>
      </x:c>
      <x:c r="H535" s="20" t="str">
        <x:v>RASTREO 3843CP05202608255693211035</x:v>
      </x:c>
      <x:c r="I535" s="19" t="str">
        <x:v>DEPOSITO SPEI | YESICA SELENI COTA CORREA | BANORTE 072730013002955891 | 260825 M 26 L 31 Yesica Cota | CLAVE DE RASTREO 3843CP05202608255693211035</x:v>
      </x:c>
      <x:c r="J535" s="21"/>
      <x:c r="K535" s="21" t="n">
        <x:v>500</x:v>
      </x:c>
      <x:c r="L535" s="21" t="n">
        <x:v>453037.2</x:v>
      </x:c>
      <x:c r="M535" s="22" t="n">
        <x:v>50</x:v>
      </x:c>
    </x:row>
    <x:row r="536" ht="30" customHeight="1">
      <x:c r="A536" s="16" t="n">
        <x:v>46260</x:v>
      </x:c>
      <x:c r="B536" s="17" t="str">
        <x:v>8202629419</x:v>
      </x:c>
      <x:c r="C536" s="18" t="str">
        <x:v>TRANSFERENCIA SPEI</x:v>
      </x:c>
      <x:c r="D536" s="18" t="str">
        <x:v>FYMSA BAJA SUR SRL DE CV</x:v>
      </x:c>
      <x:c r="E536" s="18" t="str">
        <x:v>BBVA MEXICO</x:v>
      </x:c>
      <x:c r="F536" s="17" t="str">
        <x:v>CTA 012040001171445392</x:v>
      </x:c>
      <x:c r="G536" s="19" t="str">
        <x:v>20260826 Pago | 036NAPP26082026294196170 RFC NO DISPONIBLE</x:v>
      </x:c>
      <x:c r="H536" s="20" t="str"/>
      <x:c r="I536" s="19" t="str">
        <x:v>TRANSFERENCIA SPEI | FYMSA BAJA SUR SRL DE CV | BBVA MEXICO 012040001171445392 | 20260826 Pago | 036NAPP26082026294196170 RFC NO DISPONIBLE</x:v>
      </x:c>
      <x:c r="J536" s="21" t="n">
        <x:v>30157.96</x:v>
      </x:c>
      <x:c r="K536" s="21"/>
      <x:c r="L536" s="21" t="n">
        <x:v>422879.24</x:v>
      </x:c>
      <x:c r="M536" s="22" t="n">
        <x:v>50</x:v>
      </x:c>
    </x:row>
    <x:row r="537" ht="30" customHeight="1">
      <x:c r="A537" s="16" t="n">
        <x:v>46260</x:v>
      </x:c>
      <x:c r="B537" s="17" t="str">
        <x:v>4124508511</x:v>
      </x:c>
      <x:c r="C537" s="18" t="str">
        <x:v>DEPOSITO SPEI</x:v>
      </x:c>
      <x:c r="D537" s="18" t="str">
        <x:v>NORMAN EVALDO COSSIO DOMINGUEZ</x:v>
      </x:c>
      <x:c r="E537" s="18" t="str">
        <x:v>BANORTE</x:v>
      </x:c>
      <x:c r="F537" s="17" t="str">
        <x:v>CTA 072040011361836521</x:v>
      </x:c>
      <x:c r="G537" s="19" t="str">
        <x:v>260826 NORMAN COSSIO PV M12 L16</x:v>
      </x:c>
      <x:c r="H537" s="20" t="str">
        <x:v>RASTREO 7875APR1202608265695145573</x:v>
      </x:c>
      <x:c r="I537" s="19" t="str">
        <x:v>DEPOSITO SPEI | NORMAN EVALDO COSSIO DOMINGUEZ | BANORTE 072040011361836521 | 260826 NORMAN COSSIO PV M12 L16 | CLAVE DE RASTREO 7875APR1202608265695145573</x:v>
      </x:c>
      <x:c r="J537" s="21"/>
      <x:c r="K537" s="21" t="n">
        <x:v>1500</x:v>
      </x:c>
      <x:c r="L537" s="21" t="n">
        <x:v>424379.24</x:v>
      </x:c>
      <x:c r="M537" s="22" t="n">
        <x:v>50</x:v>
      </x:c>
    </x:row>
    <x:row r="538" ht="30" customHeight="1">
      <x:c r="A538" s="16" t="n">
        <x:v>46260</x:v>
      </x:c>
      <x:c r="B538" s="17" t="str">
        <x:v>4124509218</x:v>
      </x:c>
      <x:c r="C538" s="18" t="str">
        <x:v>DEPOSITO SPEI</x:v>
      </x:c>
      <x:c r="D538" s="18" t="str">
        <x:v>NORMAN EVALDO COSSIO DOMINGUEZ</x:v>
      </x:c>
      <x:c r="E538" s="18" t="str">
        <x:v>BANORTE</x:v>
      </x:c>
      <x:c r="F538" s="17" t="str">
        <x:v>CTA 072040011361836521</x:v>
      </x:c>
      <x:c r="G538" s="19" t="str">
        <x:v>260826 NORMAN COSSIO PV M12 L17</x:v>
      </x:c>
      <x:c r="H538" s="20" t="str">
        <x:v>RASTREO 7875APR2202608265695149257</x:v>
      </x:c>
      <x:c r="I538" s="19" t="str">
        <x:v>DEPOSITO SPEI | NORMAN EVALDO COSSIO DOMINGUEZ | BANORTE 072040011361836521 | 260826 NORMAN COSSIO PV M12 L17 | CLAVE DE RASTREO 7875APR2202608265695149257</x:v>
      </x:c>
      <x:c r="J538" s="21"/>
      <x:c r="K538" s="21" t="n">
        <x:v>1500</x:v>
      </x:c>
      <x:c r="L538" s="21" t="n">
        <x:v>425879.24</x:v>
      </x:c>
      <x:c r="M538" s="22" t="n">
        <x:v>50</x:v>
      </x:c>
    </x:row>
    <x:row r="539" ht="30" customHeight="1">
      <x:c r="A539" s="16" t="n">
        <x:v>46260</x:v>
      </x:c>
      <x:c r="B539" s="17" t="str">
        <x:v>8202629426</x:v>
      </x:c>
      <x:c r="C539" s="18" t="str">
        <x:v>TRANSFERENCIA SPEI</x:v>
      </x:c>
      <x:c r="D539" s="18" t="str">
        <x:v>Nehiva Arauza</x:v>
      </x:c>
      <x:c r="E539" s="18" t="str">
        <x:v>BBVA MEXICO</x:v>
      </x:c>
      <x:c r="F539" s="17" t="str">
        <x:v>CTA 4152314180181748</x:v>
      </x:c>
      <x:c r="G539" s="19" t="str">
        <x:v>20260826 Pago | 036NAPP26082026294263484 RFC NO DISPONIBLE</x:v>
      </x:c>
      <x:c r="H539" s="20" t="str"/>
      <x:c r="I539" s="19" t="str">
        <x:v>TRANSFERENCIA SPEI | Nehiva Arauza | BBVA MEXICO 4152314180181748 | 20260826 Pago | 036NAPP26082026294263484 RFC NO DISPONIBLE</x:v>
      </x:c>
      <x:c r="J539" s="21" t="n">
        <x:v>21842.12</x:v>
      </x:c>
      <x:c r="K539" s="21"/>
      <x:c r="L539" s="21" t="n">
        <x:v>404037.12</x:v>
      </x:c>
      <x:c r="M539" s="22" t="n">
        <x:v>50</x:v>
      </x:c>
    </x:row>
    <x:row r="540" ht="30" customHeight="1">
      <x:c r="A540" s="16" t="n">
        <x:v>46260</x:v>
      </x:c>
      <x:c r="B540" s="17" t="str">
        <x:v>4124769878</x:v>
      </x:c>
      <x:c r="C540" s="18" t="str">
        <x:v>DEPOSITO SPEI</x:v>
      </x:c>
      <x:c r="D540" s="18" t="str">
        <x:v>NORMAN EVALDO COSSIO DOMINGUEZ</x:v>
      </x:c>
      <x:c r="E540" s="18" t="str">
        <x:v>BANORTE</x:v>
      </x:c>
      <x:c r="F540" s="17" t="str">
        <x:v>CTA 072040011361836521</x:v>
      </x:c>
      <x:c r="G540" s="19" t="str">
        <x:v>260826 RECARGO NORMAN COSSIO PV M12 L16 Y 17</x:v>
      </x:c>
      <x:c r="H540" s="20" t="str">
        <x:v>RASTREO 7875APR2202608265695669844</x:v>
      </x:c>
      <x:c r="I540" s="19" t="str">
        <x:v>DEPOSITO SPEI | NORMAN EVALDO COSSIO DOMINGUEZ | BANORTE 072040011361836521 | 260826 RECARGO NORMAN COSSIO PV M12 L16 Y 17 | CLAVE DE RASTREO 7875APR2202608265695669844</x:v>
      </x:c>
      <x:c r="J540" s="21"/>
      <x:c r="K540" s="21" t="n">
        <x:v>1200</x:v>
      </x:c>
      <x:c r="L540" s="21" t="n">
        <x:v>405237.12</x:v>
      </x:c>
      <x:c r="M540" s="22" t="n">
        <x:v>50</x:v>
      </x:c>
    </x:row>
    <x:row r="541" ht="30" customHeight="1">
      <x:c r="A541" s="16" t="n">
        <x:v>46261</x:v>
      </x:c>
      <x:c r="B541" s="17" t="str">
        <x:v>4125761560</x:v>
      </x:c>
      <x:c r="C541" s="18" t="str">
        <x:v>DEPOSITO SPEI</x:v>
      </x:c>
      <x:c r="D541" s="18" t="str">
        <x:v>ALFREDO MENDEZ ZARATE</x:v>
      </x:c>
      <x:c r="E541" s="18" t="str">
        <x:v>BBVA MEXICO</x:v>
      </x:c>
      <x:c r="F541" s="17" t="str">
        <x:v>CTA 012180015631304971</x:v>
      </x:c>
      <x:c r="G541" s="19" t="str">
        <x:v>1408260 M17 L14 Mendez Zarate</x:v>
      </x:c>
      <x:c r="H541" s="20" t="str">
        <x:v>RASTREO MBAN01002608270076317859</x:v>
      </x:c>
      <x:c r="I541" s="19" t="str">
        <x:v>DEPOSITO SPEI | ALFREDO MENDEZ ZARATE | BBVA MEXICO 012180015631304971 | 1408260 M17 L14 Mendez Zarate | CLAVE DE RASTREO MBAN01002608270076317859</x:v>
      </x:c>
      <x:c r="J541" s="21"/>
      <x:c r="K541" s="21" t="n">
        <x:v>1500</x:v>
      </x:c>
      <x:c r="L541" s="21" t="n">
        <x:v>406737.12</x:v>
      </x:c>
      <x:c r="M541" s="22" t="n">
        <x:v>51</x:v>
      </x:c>
    </x:row>
    <x:row r="542" ht="30" customHeight="1">
      <x:c r="A542" s="16" t="n">
        <x:v>46261</x:v>
      </x:c>
      <x:c r="B542" s="17" t="str">
        <x:v>8202629443</x:v>
      </x:c>
      <x:c r="C542" s="18" t="str">
        <x:v>TRANSFERENCIA SPEI</x:v>
      </x:c>
      <x:c r="D542" s="18" t="str">
        <x:v>Efrén Peralta Guzman</x:v>
      </x:c>
      <x:c r="E542" s="18" t="str">
        <x:v>BBVA MEXICO</x:v>
      </x:c>
      <x:c r="F542" s="17" t="str">
        <x:v>CTA 012180015579460689</x:v>
      </x:c>
      <x:c r="G542" s="19" t="str">
        <x:v>20260827 Pago moto | 036NAPP27082026294436159 RFC NO DISPONIBLE</x:v>
      </x:c>
      <x:c r="H542" s="20" t="str"/>
      <x:c r="I542" s="19" t="str">
        <x:v>TRANSFERENCIA SPEI | Efrén Peralta Guzman | BBVA MEXICO 012180015579460689 | 20260827 Pago moto | 036NAPP27082026294436159 RFC NO DISPONIBLE</x:v>
      </x:c>
      <x:c r="J542" s="21" t="n">
        <x:v>60000</x:v>
      </x:c>
      <x:c r="K542" s="21"/>
      <x:c r="L542" s="21" t="n">
        <x:v>346737.12</x:v>
      </x:c>
      <x:c r="M542" s="22" t="n">
        <x:v>51</x:v>
      </x:c>
    </x:row>
    <x:row r="543" ht="30" customHeight="1">
      <x:c r="A543" s="16" t="n">
        <x:v>46261</x:v>
      </x:c>
      <x:c r="B543" s="17" t="str">
        <x:v>4126200862</x:v>
      </x:c>
      <x:c r="C543" s="18" t="str">
        <x:v>DEPOSITO SPEI</x:v>
      </x:c>
      <x:c r="D543" s="18" t="str">
        <x:v>ROXANA MARGARITA REDUCINDO RADILLA</x:v>
      </x:c>
      <x:c r="E543" s="18" t="str">
        <x:v>BBVA MEXICO</x:v>
      </x:c>
      <x:c r="F543" s="17" t="str">
        <x:v>CTA 012180015230067774</x:v>
      </x:c>
      <x:c r="G543" s="19" t="str">
        <x:v>1408260 Roxana Reducindo M16 L5 palo verde</x:v>
      </x:c>
      <x:c r="H543" s="20" t="str">
        <x:v>RASTREO MBAN01002608270077591895</x:v>
      </x:c>
      <x:c r="I543" s="19" t="str">
        <x:v>DEPOSITO SPEI | ROXANA MARGARITA REDUCINDO RADILLA | BBVA MEXICO 012180015230067774 | 1408260 Roxana Reducindo M16 L5 palo verde | CLAVE DE RASTREO MBAN01002608270077591895</x:v>
      </x:c>
      <x:c r="J543" s="21"/>
      <x:c r="K543" s="21" t="n">
        <x:v>2500</x:v>
      </x:c>
      <x:c r="L543" s="21" t="n">
        <x:v>349237.12</x:v>
      </x:c>
      <x:c r="M543" s="22" t="n">
        <x:v>51</x:v>
      </x:c>
    </x:row>
    <x:row r="544" ht="30" customHeight="1">
      <x:c r="A544" s="16" t="n">
        <x:v>46261</x:v>
      </x:c>
      <x:c r="B544" s="17" t="str">
        <x:v>4126326671</x:v>
      </x:c>
      <x:c r="C544" s="18" t="str">
        <x:v>DEPOSITO SPEI</x:v>
      </x:c>
      <x:c r="D544" s="18" t="str">
        <x:v>DANIEL,SEPULVEDA/DIAZ</x:v>
      </x:c>
      <x:c r="E544" s="18" t="str">
        <x:v>BANAMEX</x:v>
      </x:c>
      <x:c r="F544" s="17" t="str">
        <x:v>CTA 002045900753211380</x:v>
      </x:c>
      <x:c r="G544" s="19" t="str">
        <x:v>270826 pago septiembre lote 10 mzna 28 palo ver</x:v>
      </x:c>
      <x:c r="H544" s="20" t="str">
        <x:v>RASTREO 085905836584323962</x:v>
      </x:c>
      <x:c r="I544" s="19" t="str">
        <x:v>DEPOSITO SPEI | DANIEL,SEPULVEDA/DIAZ | BANAMEX 002045900753211380 | 270826 pago septiembre lote 10 mzna 28 palo ver | CLAVE DE RASTREO 085905836584323962</x:v>
      </x:c>
      <x:c r="J544" s="21"/>
      <x:c r="K544" s="21" t="n">
        <x:v>1500</x:v>
      </x:c>
      <x:c r="L544" s="21" t="n">
        <x:v>350737.12</x:v>
      </x:c>
      <x:c r="M544" s="22" t="n">
        <x:v>51</x:v>
      </x:c>
    </x:row>
    <x:row r="545" ht="30" customHeight="1">
      <x:c r="A545" s="16" t="n">
        <x:v>46261</x:v>
      </x:c>
      <x:c r="B545" s="17" t="str">
        <x:v>4126331102</x:v>
      </x:c>
      <x:c r="C545" s="18" t="str">
        <x:v>DEPOSITO SPEI</x:v>
      </x:c>
      <x:c r="D545" s="18" t="str">
        <x:v>DANIEL,SEPULVEDA/DIAZ</x:v>
      </x:c>
      <x:c r="E545" s="18" t="str">
        <x:v>BANAMEX</x:v>
      </x:c>
      <x:c r="F545" s="17" t="str">
        <x:v>CTA 002045900753211380</x:v>
      </x:c>
      <x:c r="G545" s="19" t="str">
        <x:v>270826 pago septiembre lote 11 mzna 28 palo ver</x:v>
      </x:c>
      <x:c r="H545" s="20" t="str">
        <x:v>RASTREO 085905868104323963</x:v>
      </x:c>
      <x:c r="I545" s="19" t="str">
        <x:v>DEPOSITO SPEI | DANIEL,SEPULVEDA/DIAZ | BANAMEX 002045900753211380 | 270826 pago septiembre lote 11 mzna 28 palo ver | CLAVE DE RASTREO 085905868104323963</x:v>
      </x:c>
      <x:c r="J545" s="21"/>
      <x:c r="K545" s="21" t="n">
        <x:v>1500</x:v>
      </x:c>
      <x:c r="L545" s="21" t="n">
        <x:v>352237.12</x:v>
      </x:c>
      <x:c r="M545" s="22" t="n">
        <x:v>51</x:v>
      </x:c>
    </x:row>
    <x:row r="546" ht="30" customHeight="1">
      <x:c r="A546" s="16" t="n">
        <x:v>46262</x:v>
      </x:c>
      <x:c r="B546" s="17" t="str">
        <x:v>4126863324</x:v>
      </x:c>
      <x:c r="C546" s="18" t="str">
        <x:v>EL UNIFORME 5 MX</x:v>
      </x:c>
      <x:c r="D546" s="18" t="str"/>
      <x:c r="E546" s="18" t="str"/>
      <x:c r="F546" s="17" t="str"/>
      <x:c r="G546" s="19" t="str"/>
      <x:c r="H546" s="20" t="str"/>
      <x:c r="I546" s="19" t="str">
        <x:v>EL UNIFORME 5 MX</x:v>
      </x:c>
      <x:c r="J546" s="21" t="n">
        <x:v>2303.97</x:v>
      </x:c>
      <x:c r="K546" s="21"/>
      <x:c r="L546" s="21" t="n">
        <x:v>349933.15</x:v>
      </x:c>
      <x:c r="M546" s="22" t="n">
        <x:v>51</x:v>
      </x:c>
    </x:row>
    <x:row r="547" ht="30" customHeight="1">
      <x:c r="A547" s="16" t="n">
        <x:v>46262</x:v>
      </x:c>
      <x:c r="B547" s="17" t="str">
        <x:v>4126863351</x:v>
      </x:c>
      <x:c r="C547" s="18" t="str">
        <x:v>PAPE COP BCS SUC J MU2 MX</x:v>
      </x:c>
      <x:c r="D547" s="18" t="str"/>
      <x:c r="E547" s="18" t="str"/>
      <x:c r="F547" s="17" t="str"/>
      <x:c r="G547" s="19" t="str"/>
      <x:c r="H547" s="20" t="str"/>
      <x:c r="I547" s="19" t="str">
        <x:v>PAPE COP BCS SUC J MU2 MX</x:v>
      </x:c>
      <x:c r="J547" s="21" t="n">
        <x:v>879.14</x:v>
      </x:c>
      <x:c r="K547" s="21"/>
      <x:c r="L547" s="21" t="n">
        <x:v>349054.01</x:v>
      </x:c>
      <x:c r="M547" s="22" t="n">
        <x:v>51</x:v>
      </x:c>
    </x:row>
    <x:row r="548" ht="30" customHeight="1">
      <x:c r="A548" s="16" t="n">
        <x:v>46262</x:v>
      </x:c>
      <x:c r="B548" s="17" t="str">
        <x:v>4126863443</x:v>
      </x:c>
      <x:c r="C548" s="18" t="str">
        <x:v>UNIF LORYGIL MX</x:v>
      </x:c>
      <x:c r="D548" s="18" t="str"/>
      <x:c r="E548" s="18" t="str"/>
      <x:c r="F548" s="17" t="str"/>
      <x:c r="G548" s="19" t="str"/>
      <x:c r="H548" s="20" t="str"/>
      <x:c r="I548" s="19" t="str">
        <x:v>UNIF LORYGIL MX</x:v>
      </x:c>
      <x:c r="J548" s="21" t="n">
        <x:v>1076</x:v>
      </x:c>
      <x:c r="K548" s="21"/>
      <x:c r="L548" s="21" t="n">
        <x:v>347978.01</x:v>
      </x:c>
      <x:c r="M548" s="22" t="n">
        <x:v>51</x:v>
      </x:c>
    </x:row>
    <x:row r="549" ht="30" customHeight="1">
      <x:c r="A549" s="16" t="n">
        <x:v>46262</x:v>
      </x:c>
      <x:c r="B549" s="17" t="str">
        <x:v>4126863466</x:v>
      </x:c>
      <x:c r="C549" s="18" t="str">
        <x:v>REFAC BAJA BIKES SJC MX</x:v>
      </x:c>
      <x:c r="D549" s="18" t="str"/>
      <x:c r="E549" s="18" t="str"/>
      <x:c r="F549" s="17" t="str"/>
      <x:c r="G549" s="19" t="str"/>
      <x:c r="H549" s="20" t="str"/>
      <x:c r="I549" s="19" t="str">
        <x:v>REFAC BAJA BIKES SJC MX</x:v>
      </x:c>
      <x:c r="J549" s="21" t="n">
        <x:v>3109.54</x:v>
      </x:c>
      <x:c r="K549" s="21"/>
      <x:c r="L549" s="21" t="n">
        <x:v>344868.47</x:v>
      </x:c>
      <x:c r="M549" s="22" t="n">
        <x:v>51</x:v>
      </x:c>
    </x:row>
    <x:row r="550" ht="30" customHeight="1">
      <x:c r="A550" s="16" t="n">
        <x:v>46262</x:v>
      </x:c>
      <x:c r="B550" s="17" t="str">
        <x:v>4127292318</x:v>
      </x:c>
      <x:c r="C550" s="18" t="str">
        <x:v>DEPOSITO SPEI</x:v>
      </x:c>
      <x:c r="D550" s="18" t="str">
        <x:v>MARTIN SNYDER LUGO</x:v>
      </x:c>
      <x:c r="E550" s="18" t="str">
        <x:v>SANTANDER</x:v>
      </x:c>
      <x:c r="F550" s="17" t="str">
        <x:v>CTA 014685606173961412</x:v>
      </x:c>
      <x:c r="G550" s="19" t="str">
        <x:v>9711108 M5 L20 PALO VERDE MARTIN SNYDER</x:v>
      </x:c>
      <x:c r="H550" s="20" t="str">
        <x:v>RASTREO 2026082840014BMOVP000456175960</x:v>
      </x:c>
      <x:c r="I550" s="19" t="str">
        <x:v>DEPOSITO SPEI | MARTIN SNYDER LUGO | SANTANDER 014685606173961412 | 9711108 M5 L20 PALO VERDE MARTIN SNYDER | CLAVE DE RASTREO 2026082840014BMOVP000456175960</x:v>
      </x:c>
      <x:c r="J550" s="21"/>
      <x:c r="K550" s="21" t="n">
        <x:v>1500</x:v>
      </x:c>
      <x:c r="L550" s="21" t="n">
        <x:v>346368.47</x:v>
      </x:c>
      <x:c r="M550" s="22" t="n">
        <x:v>51</x:v>
      </x:c>
    </x:row>
    <x:row r="551" ht="30" customHeight="1">
      <x:c r="A551" s="16" t="n">
        <x:v>46262</x:v>
      </x:c>
      <x:c r="B551" s="17" t="str">
        <x:v>4127294524</x:v>
      </x:c>
      <x:c r="C551" s="18" t="str">
        <x:v>DEPOSITO SPEI</x:v>
      </x:c>
      <x:c r="D551" s="18" t="str">
        <x:v>MARTIN SNYDER LUGO</x:v>
      </x:c>
      <x:c r="E551" s="18" t="str">
        <x:v>SANTANDER</x:v>
      </x:c>
      <x:c r="F551" s="17" t="str">
        <x:v>CTA 014685606173961412</x:v>
      </x:c>
      <x:c r="G551" s="19" t="str">
        <x:v>3752423 M5 L9 PALO VERDE MARTIN SNYDER</x:v>
      </x:c>
      <x:c r="H551" s="20" t="str">
        <x:v>RASTREO 2026082840014BMOVP000456271070</x:v>
      </x:c>
      <x:c r="I551" s="19" t="str">
        <x:v>DEPOSITO SPEI | MARTIN SNYDER LUGO | SANTANDER 014685606173961412 | 3752423 M5 L9 PALO VERDE MARTIN SNYDER | CLAVE DE RASTREO 2026082840014BMOVP000456271070</x:v>
      </x:c>
      <x:c r="J551" s="21"/>
      <x:c r="K551" s="21" t="n">
        <x:v>1500</x:v>
      </x:c>
      <x:c r="L551" s="21" t="n">
        <x:v>347868.47</x:v>
      </x:c>
      <x:c r="M551" s="22" t="n">
        <x:v>51</x:v>
      </x:c>
    </x:row>
    <x:row r="552" ht="30" customHeight="1">
      <x:c r="A552" s="16" t="n">
        <x:v>46262</x:v>
      </x:c>
      <x:c r="B552" s="17" t="str">
        <x:v>4127330996</x:v>
      </x:c>
      <x:c r="C552" s="18" t="str">
        <x:v>DEPOSITO SPEI</x:v>
      </x:c>
      <x:c r="D552" s="18" t="str">
        <x:v>ARMENTA ORBE ALFREDO</x:v>
      </x:c>
      <x:c r="E552" s="18" t="str">
        <x:v>BANJERCITO</x:v>
      </x:c>
      <x:c r="F552" s="17" t="str">
        <x:v>CTA 019040007070112561</x:v>
      </x:c>
      <x:c r="G552" s="19" t="str">
        <x:v>318589 PROYECTO PALO VERDE M24 L8</x:v>
      </x:c>
      <x:c r="H552" s="20" t="str">
        <x:v>RASTREO 20260828090645031858900019</x:v>
      </x:c>
      <x:c r="I552" s="19" t="str">
        <x:v>DEPOSITO SPEI | ARMENTA ORBE ALFREDO | BANJERCITO 019040007070112561 | 318589 PROYECTO PALO VERDE M24 L8 | CLAVE DE RASTREO 20260828090645031858900019</x:v>
      </x:c>
      <x:c r="J552" s="21"/>
      <x:c r="K552" s="21" t="n">
        <x:v>1500</x:v>
      </x:c>
      <x:c r="L552" s="21" t="n">
        <x:v>349368.47</x:v>
      </x:c>
      <x:c r="M552" s="22" t="n">
        <x:v>51</x:v>
      </x:c>
    </x:row>
    <x:row r="553" ht="30" customHeight="1">
      <x:c r="A553" s="16" t="n">
        <x:v>46262</x:v>
      </x:c>
      <x:c r="B553" s="17" t="str">
        <x:v>4127551500</x:v>
      </x:c>
      <x:c r="C553" s="18" t="str">
        <x:v>DEPOSITO SPEI</x:v>
      </x:c>
      <x:c r="D553" s="18" t="str">
        <x:v>SERGIO LUIS ROCHIN LUCERO</x:v>
      </x:c>
      <x:c r="E553" s="18" t="str">
        <x:v>COMPARTAMOS</x:v>
      </x:c>
      <x:c r="F553" s="17" t="str">
        <x:v>CTA 130040001905804010</x:v>
      </x:c>
      <x:c r="G553" s="19" t="str">
        <x:v>280826 van 190 mil rochin</x:v>
      </x:c>
      <x:c r="H553" s="20" t="str">
        <x:v>RASTREO 5831433510120260828111612</x:v>
      </x:c>
      <x:c r="I553" s="19" t="str">
        <x:v>DEPOSITO SPEI | SERGIO LUIS ROCHIN LUCERO | COMPARTAMOS 130040001905804010 | 280826 van 190 mil rochin | CLAVE DE RASTREO 5831433510120260828111612</x:v>
      </x:c>
      <x:c r="J553" s="21"/>
      <x:c r="K553" s="21" t="n">
        <x:v>15000</x:v>
      </x:c>
      <x:c r="L553" s="21" t="n">
        <x:v>364368.47</x:v>
      </x:c>
      <x:c r="M553" s="22" t="n">
        <x:v>52</x:v>
      </x:c>
    </x:row>
    <x:row r="554" ht="30" customHeight="1">
      <x:c r="A554" s="16" t="n">
        <x:v>46262</x:v>
      </x:c>
      <x:c r="B554" s="17" t="str">
        <x:v>4128213897</x:v>
      </x:c>
      <x:c r="C554" s="18" t="str">
        <x:v>DEPOSITO SPEI</x:v>
      </x:c>
      <x:c r="D554" s="18" t="str">
        <x:v>JESUS ROBERTO,GARZON/HERNANDEZ</x:v>
      </x:c>
      <x:c r="E554" s="18" t="str">
        <x:v>BANAMEX</x:v>
      </x:c>
      <x:c r="F554" s="17" t="str">
        <x:v>CTA 002040905221626892</x:v>
      </x:c>
      <x:c r="G554" s="19" t="str">
        <x:v>280826 M8 L5 Roberto Garzon</x:v>
      </x:c>
      <x:c r="H554" s="20" t="str">
        <x:v>RASTREO 085907784844324069</x:v>
      </x:c>
      <x:c r="I554" s="19" t="str">
        <x:v>DEPOSITO SPEI | JESUS ROBERTO,GARZON/HERNANDEZ | BANAMEX 002040905221626892 | 280826 M8 L5 Roberto Garzon | CLAVE DE RASTREO 085907784844324069</x:v>
      </x:c>
      <x:c r="J554" s="21"/>
      <x:c r="K554" s="21" t="n">
        <x:v>1500</x:v>
      </x:c>
      <x:c r="L554" s="21" t="n">
        <x:v>365868.47</x:v>
      </x:c>
      <x:c r="M554" s="22" t="n">
        <x:v>52</x:v>
      </x:c>
    </x:row>
    <x:row r="555" ht="30" customHeight="1">
      <x:c r="A555" s="16" t="n">
        <x:v>46262</x:v>
      </x:c>
      <x:c r="B555" s="17" t="str">
        <x:v>8202629482</x:v>
      </x:c>
      <x:c r="C555" s="18" t="str">
        <x:v>TRANSFERENCIA SPEI</x:v>
      </x:c>
      <x:c r="D555" s="18" t="str">
        <x:v>Efrén Peralta Guzman</x:v>
      </x:c>
      <x:c r="E555" s="18" t="str">
        <x:v>BBVA MEXICO</x:v>
      </x:c>
      <x:c r="F555" s="17" t="str">
        <x:v>CTA 012180015579460689</x:v>
      </x:c>
      <x:c r="G555" s="19" t="str">
        <x:v>20260828 Pago | 036NAPP28082026294823758 RFC NO DISPONIBLE</x:v>
      </x:c>
      <x:c r="H555" s="20" t="str"/>
      <x:c r="I555" s="19" t="str">
        <x:v>TRANSFERENCIA SPEI | Efrén Peralta Guzman | BBVA MEXICO 012180015579460689 | 20260828 Pago | 036NAPP28082026294823758 RFC NO DISPONIBLE</x:v>
      </x:c>
      <x:c r="J555" s="21" t="n">
        <x:v>60000</x:v>
      </x:c>
      <x:c r="K555" s="21"/>
      <x:c r="L555" s="21" t="n">
        <x:v>305868.47</x:v>
      </x:c>
      <x:c r="M555" s="22" t="n">
        <x:v>52</x:v>
      </x:c>
    </x:row>
    <x:row r="556" ht="30" customHeight="1">
      <x:c r="A556" s="16" t="n">
        <x:v>46262</x:v>
      </x:c>
      <x:c r="B556" s="17" t="str">
        <x:v>8202629485</x:v>
      </x:c>
      <x:c r="C556" s="18" t="str">
        <x:v>TRANSFERENCIA SPEI</x:v>
      </x:c>
      <x:c r="D556" s="18" t="str">
        <x:v>Erika Ortega nares</x:v>
      </x:c>
      <x:c r="E556" s="18" t="str">
        <x:v>BBVA MEXICO</x:v>
      </x:c>
      <x:c r="F556" s="17" t="str">
        <x:v>CTA 4152314020936715</x:v>
      </x:c>
      <x:c r="G556" s="19" t="str">
        <x:v>20260828 Pago | 036NAPP28082026294857426 RFC NO DISPONIBLE</x:v>
      </x:c>
      <x:c r="H556" s="20" t="str"/>
      <x:c r="I556" s="19" t="str">
        <x:v>TRANSFERENCIA SPEI | Erika Ortega nares | BBVA MEXICO 4152314020936715 | 20260828 Pago | 036NAPP28082026294857426 RFC NO DISPONIBLE</x:v>
      </x:c>
      <x:c r="J556" s="21" t="n">
        <x:v>2000</x:v>
      </x:c>
      <x:c r="K556" s="21"/>
      <x:c r="L556" s="21" t="n">
        <x:v>303868.47</x:v>
      </x:c>
      <x:c r="M556" s="22" t="n">
        <x:v>52</x:v>
      </x:c>
    </x:row>
    <x:row r="557" ht="30" customHeight="1">
      <x:c r="A557" s="16" t="n">
        <x:v>46262</x:v>
      </x:c>
      <x:c r="B557" s="17" t="str">
        <x:v>4128761881</x:v>
      </x:c>
      <x:c r="C557" s="18" t="str">
        <x:v>DEPOSITO SPEI</x:v>
      </x:c>
      <x:c r="D557" s="18" t="str">
        <x:v>DENISSE ANDREA RUIZ ENRIQUEZ</x:v>
      </x:c>
      <x:c r="E557" s="18" t="str">
        <x:v>Mercado Pago W</x:v>
      </x:c>
      <x:c r="F557" s="17" t="str">
        <x:v>CTA 722969020664628832</x:v>
      </x:c>
      <x:c r="G557" s="19" t="str">
        <x:v>5310704 M4L17 Palo Verde</x:v>
      </x:c>
      <x:c r="H557" s="20" t="str">
        <x:v>RASTREO CPO176165310704</x:v>
      </x:c>
      <x:c r="I557" s="19" t="str">
        <x:v>DEPOSITO SPEI | DENISSE ANDREA RUIZ ENRIQUEZ | Mercado Pago W 722969020664628832 | 5310704 M4L17 Palo Verde | CLAVE DE RASTREO CPO176165310704</x:v>
      </x:c>
      <x:c r="J557" s="21"/>
      <x:c r="K557" s="21" t="n">
        <x:v>1500</x:v>
      </x:c>
      <x:c r="L557" s="21" t="n">
        <x:v>305368.47</x:v>
      </x:c>
      <x:c r="M557" s="22" t="n">
        <x:v>52</x:v>
      </x:c>
    </x:row>
    <x:row r="558" ht="30" customHeight="1">
      <x:c r="A558" s="16" t="n">
        <x:v>46263</x:v>
      </x:c>
      <x:c r="B558" s="17" t="str">
        <x:v>4128941917</x:v>
      </x:c>
      <x:c r="C558" s="18" t="str">
        <x:v>DEPOSITO SPEI</x:v>
      </x:c>
      <x:c r="D558" s="18" t="str">
        <x:v>MARCOS HERNANDEZ MORALES</x:v>
      </x:c>
      <x:c r="E558" s="18" t="str">
        <x:v>BANORTE</x:v>
      </x:c>
      <x:c r="F558" s="17" t="str">
        <x:v>CTA 072261006873011576</x:v>
      </x:c>
      <x:c r="G558" s="19" t="str">
        <x:v>260829 L1M21 palo verde marcos hdz morales</x:v>
      </x:c>
      <x:c r="H558" s="20" t="str">
        <x:v>RASTREO 38432P06202608295708105580</x:v>
      </x:c>
      <x:c r="I558" s="19" t="str">
        <x:v>DEPOSITO SPEI | MARCOS HERNANDEZ MORALES | BANORTE 072261006873011576 | 260829 L1M21 palo verde marcos hdz morales | CLAVE DE RASTREO 38432P06202608295708105580</x:v>
      </x:c>
      <x:c r="J558" s="21"/>
      <x:c r="K558" s="21" t="n">
        <x:v>1500</x:v>
      </x:c>
      <x:c r="L558" s="21" t="n">
        <x:v>306868.47</x:v>
      </x:c>
      <x:c r="M558" s="22" t="n">
        <x:v>52</x:v>
      </x:c>
    </x:row>
    <x:row r="559" ht="30" customHeight="1">
      <x:c r="A559" s="16" t="n">
        <x:v>46263</x:v>
      </x:c>
      <x:c r="B559" s="17" t="str">
        <x:v>4129278072</x:v>
      </x:c>
      <x:c r="C559" s="18" t="str">
        <x:v>EL CLAVO FERRETERIA MX</x:v>
      </x:c>
      <x:c r="D559" s="18" t="str"/>
      <x:c r="E559" s="18" t="str"/>
      <x:c r="F559" s="17" t="str"/>
      <x:c r="G559" s="19" t="str"/>
      <x:c r="H559" s="20" t="str"/>
      <x:c r="I559" s="19" t="str">
        <x:v>EL CLAVO FERRETERIA MX</x:v>
      </x:c>
      <x:c r="J559" s="21" t="n">
        <x:v>98</x:v>
      </x:c>
      <x:c r="K559" s="21"/>
      <x:c r="L559" s="21" t="n">
        <x:v>306770.47</x:v>
      </x:c>
      <x:c r="M559" s="22" t="n">
        <x:v>52</x:v>
      </x:c>
    </x:row>
    <x:row r="560" ht="30" customHeight="1">
      <x:c r="A560" s="16" t="n">
        <x:v>46263</x:v>
      </x:c>
      <x:c r="B560" s="17" t="str">
        <x:v>4129278089</x:v>
      </x:c>
      <x:c r="C560" s="18" t="str">
        <x:v>OXXO SINALOA LAP MX</x:v>
      </x:c>
      <x:c r="D560" s="18" t="str"/>
      <x:c r="E560" s="18" t="str"/>
      <x:c r="F560" s="17" t="str"/>
      <x:c r="G560" s="19" t="str"/>
      <x:c r="H560" s="20" t="str"/>
      <x:c r="I560" s="19" t="str">
        <x:v>OXXO SINALOA LAP MX</x:v>
      </x:c>
      <x:c r="J560" s="21" t="n">
        <x:v>65</x:v>
      </x:c>
      <x:c r="K560" s="21"/>
      <x:c r="L560" s="21" t="n">
        <x:v>306705.47</x:v>
      </x:c>
      <x:c r="M560" s="22" t="n">
        <x:v>52</x:v>
      </x:c>
    </x:row>
    <x:row r="561" ht="30" customHeight="1">
      <x:c r="A561" s="16" t="n">
        <x:v>46263</x:v>
      </x:c>
      <x:c r="B561" s="17" t="str">
        <x:v>4129323362</x:v>
      </x:c>
      <x:c r="C561" s="18" t="str">
        <x:v>DEPOSITO SPEI</x:v>
      </x:c>
      <x:c r="D561" s="18" t="str">
        <x:v>SONIA,LOPEZ/ALVAREZ</x:v>
      </x:c>
      <x:c r="E561" s="18" t="str">
        <x:v>BANAMEX</x:v>
      </x:c>
      <x:c r="F561" s="17" t="str">
        <x:v>CTA 002045904090074561</x:v>
      </x:c>
      <x:c r="G561" s="19" t="str">
        <x:v>290826 comida</x:v>
      </x:c>
      <x:c r="H561" s="20" t="str">
        <x:v>RASTREO 085904044724324167</x:v>
      </x:c>
      <x:c r="I561" s="19" t="str">
        <x:v>DEPOSITO SPEI | SONIA,LOPEZ/ALVAREZ | BANAMEX 002045904090074561 | 290826 comida | CLAVE DE RASTREO 085904044724324167</x:v>
      </x:c>
      <x:c r="J561" s="21"/>
      <x:c r="K561" s="21" t="n">
        <x:v>1500</x:v>
      </x:c>
      <x:c r="L561" s="21" t="n">
        <x:v>308205.47</x:v>
      </x:c>
      <x:c r="M561" s="22" t="n">
        <x:v>52</x:v>
      </x:c>
    </x:row>
    <x:row r="562" ht="30" customHeight="1">
      <x:c r="A562" s="16" t="n">
        <x:v>46263</x:v>
      </x:c>
      <x:c r="B562" s="17" t="str">
        <x:v>8202629503</x:v>
      </x:c>
      <x:c r="C562" s="18" t="str">
        <x:v>TRANSFERENCIA SPEI</x:v>
      </x:c>
      <x:c r="D562" s="18" t="str">
        <x:v>Herrero</x:v>
      </x:c>
      <x:c r="E562" s="18" t="str">
        <x:v>BBVA MEXICO</x:v>
      </x:c>
      <x:c r="F562" s="17" t="str">
        <x:v>CTA 4152314459858950</x:v>
      </x:c>
      <x:c r="G562" s="19" t="str">
        <x:v>20260829 Pago | 036NAPP29082026295030669 RFC NO DISPONIBLE</x:v>
      </x:c>
      <x:c r="H562" s="20" t="str"/>
      <x:c r="I562" s="19" t="str">
        <x:v>TRANSFERENCIA SPEI | Herrero | BBVA MEXICO 4152314459858950 | 20260829 Pago | 036NAPP29082026295030669 RFC NO DISPONIBLE</x:v>
      </x:c>
      <x:c r="J562" s="21" t="n">
        <x:v>4500</x:v>
      </x:c>
      <x:c r="K562" s="21"/>
      <x:c r="L562" s="21" t="n">
        <x:v>303705.47</x:v>
      </x:c>
      <x:c r="M562" s="22" t="n">
        <x:v>52</x:v>
      </x:c>
    </x:row>
    <x:row r="563" ht="30" customHeight="1">
      <x:c r="A563" s="16" t="n">
        <x:v>46264</x:v>
      </x:c>
      <x:c r="B563" s="17" t="str">
        <x:v>8202629507</x:v>
      </x:c>
      <x:c r="C563" s="18" t="str">
        <x:v>TRANSFERENCIA SPEI</x:v>
      </x:c>
      <x:c r="D563" s="18" t="str">
        <x:v>NICOLAS RAMIREZ JAUREGUI</x:v>
      </x:c>
      <x:c r="E563" s="18" t="str">
        <x:v>AZTECA</x:v>
      </x:c>
      <x:c r="F563" s="17" t="str">
        <x:v>CTA 127040013310986896</x:v>
      </x:c>
      <x:c r="G563" s="19" t="str">
        <x:v>20260830 Pago semana Nico | 036NAPP30082026295079704 RFC NO DISPONIBLE</x:v>
      </x:c>
      <x:c r="H563" s="20" t="str"/>
      <x:c r="I563" s="19" t="str">
        <x:v>TRANSFERENCIA SPEI | NICOLAS RAMIREZ JAUREGUI | AZTECA 127040013310986896 | 20260830 Pago semana Nico | 036NAPP30082026295079704 RFC NO DISPONIBLE</x:v>
      </x:c>
      <x:c r="J563" s="21" t="n">
        <x:v>6400</x:v>
      </x:c>
      <x:c r="K563" s="21"/>
      <x:c r="L563" s="21" t="n">
        <x:v>297305.47</x:v>
      </x:c>
      <x:c r="M563" s="22" t="n">
        <x:v>52</x:v>
      </x:c>
    </x:row>
    <x:row r="564" ht="30" customHeight="1">
      <x:c r="A564" s="16" t="n">
        <x:v>46264</x:v>
      </x:c>
      <x:c r="B564" s="17" t="str">
        <x:v>4130200183</x:v>
      </x:c>
      <x:c r="C564" s="18" t="str">
        <x:v>DEPOSITO SPEI</x:v>
      </x:c>
      <x:c r="D564" s="18" t="str">
        <x:v>MARIA ISABEL MIRANDA VALLE</x:v>
      </x:c>
      <x:c r="E564" s="18" t="str">
        <x:v>BANORTE</x:v>
      </x:c>
      <x:c r="F564" s="17" t="str">
        <x:v>CTA 072040010369948467</x:v>
      </x:c>
      <x:c r="G564" s="19" t="str">
        <x:v>260830 Maria Isabel Miranda Valle L45M26</x:v>
      </x:c>
      <x:c r="H564" s="20" t="str">
        <x:v>RASTREO 3843CP03202608305712500000</x:v>
      </x:c>
      <x:c r="I564" s="19" t="str">
        <x:v>DEPOSITO SPEI | MARIA ISABEL MIRANDA VALLE | BANORTE 072040010369948467 | 260830 Maria Isabel Miranda Valle L45M26 | CLAVE DE RASTREO 3843CP03202608305712500000</x:v>
      </x:c>
      <x:c r="J564" s="21"/>
      <x:c r="K564" s="21" t="n">
        <x:v>1500</x:v>
      </x:c>
      <x:c r="L564" s="21" t="n">
        <x:v>298805.47</x:v>
      </x:c>
      <x:c r="M564" s="22" t="n">
        <x:v>53</x:v>
      </x:c>
    </x:row>
    <x:row r="565" ht="30" customHeight="1">
      <x:c r="A565" s="16" t="n">
        <x:v>46264</x:v>
      </x:c>
      <x:c r="B565" s="17" t="str">
        <x:v>4130859885</x:v>
      </x:c>
      <x:c r="C565" s="18" t="str">
        <x:v>DEPOSITO SPEI</x:v>
      </x:c>
      <x:c r="D565" s="18" t="str">
        <x:v>DANIELA GARCIA ZOPIYACTLE</x:v>
      </x:c>
      <x:c r="E565" s="18" t="str">
        <x:v>BBVA MEXICO</x:v>
      </x:c>
      <x:c r="F565" s="17" t="str">
        <x:v>CTA 012180015692216613</x:v>
      </x:c>
      <x:c r="G565" s="19" t="str">
        <x:v>1408260 M7L28DavidGarciaCuatra</x:v>
      </x:c>
      <x:c r="H565" s="20" t="str">
        <x:v>RASTREO MBAN01002608310099770629</x:v>
      </x:c>
      <x:c r="I565" s="19" t="str">
        <x:v>DEPOSITO SPEI | DANIELA GARCIA ZOPIYACTLE | BBVA MEXICO 012180015692216613 | 1408260 M7L28DavidGarciaCuatra | CLAVE DE RASTREO MBAN01002608310099770629</x:v>
      </x:c>
      <x:c r="J565" s="21"/>
      <x:c r="K565" s="21" t="n">
        <x:v>6706.97</x:v>
      </x:c>
      <x:c r="L565" s="21" t="n">
        <x:v>305512.44</x:v>
      </x:c>
      <x:c r="M565" s="22" t="n">
        <x:v>53</x:v>
      </x:c>
    </x:row>
    <x:row r="566" ht="30" customHeight="1">
      <x:c r="A566" s="16" t="n">
        <x:v>46265</x:v>
      </x:c>
      <x:c r="B566" s="17" t="str">
        <x:v>4131299217</x:v>
      </x:c>
      <x:c r="C566" s="18" t="str">
        <x:v>MERCADO PAGO TPV MX</x:v>
      </x:c>
      <x:c r="D566" s="18" t="str"/>
      <x:c r="E566" s="18" t="str"/>
      <x:c r="F566" s="17" t="str"/>
      <x:c r="G566" s="19" t="str"/>
      <x:c r="H566" s="20" t="str"/>
      <x:c r="I566" s="19" t="str">
        <x:v>MERCADO PAGO TPV MX</x:v>
      </x:c>
      <x:c r="J566" s="21" t="n">
        <x:v>4101.76</x:v>
      </x:c>
      <x:c r="K566" s="21"/>
      <x:c r="L566" s="21" t="n">
        <x:v>301410.68</x:v>
      </x:c>
      <x:c r="M566" s="22" t="n">
        <x:v>53</x:v>
      </x:c>
    </x:row>
    <x:row r="567" ht="30" customHeight="1">
      <x:c r="A567" s="16" t="n">
        <x:v>46265</x:v>
      </x:c>
      <x:c r="B567" s="17" t="str">
        <x:v>4131299235</x:v>
      </x:c>
      <x:c r="C567" s="18" t="str">
        <x:v>GAS HEM1701119E5 OLACH MX</x:v>
      </x:c>
      <x:c r="D567" s="18" t="str"/>
      <x:c r="E567" s="18" t="str"/>
      <x:c r="F567" s="17" t="str"/>
      <x:c r="G567" s="19" t="str"/>
      <x:c r="H567" s="20" t="str"/>
      <x:c r="I567" s="19" t="str">
        <x:v>GAS HEM1701119E5 OLACH MX</x:v>
      </x:c>
      <x:c r="J567" s="21" t="n">
        <x:v>1204.32</x:v>
      </x:c>
      <x:c r="K567" s="21"/>
      <x:c r="L567" s="21" t="n">
        <x:v>300206.36</x:v>
      </x:c>
      <x:c r="M567" s="22" t="n">
        <x:v>53</x:v>
      </x:c>
    </x:row>
    <x:row r="568" ht="30" customHeight="1">
      <x:c r="A568" s="16" t="n">
        <x:v>46265</x:v>
      </x:c>
      <x:c r="B568" s="17" t="str">
        <x:v>4131299246</x:v>
      </x:c>
      <x:c r="C568" s="18" t="str">
        <x:v>GAS REPSOL MX</x:v>
      </x:c>
      <x:c r="D568" s="18" t="str"/>
      <x:c r="E568" s="18" t="str"/>
      <x:c r="F568" s="17" t="str"/>
      <x:c r="G568" s="19" t="str"/>
      <x:c r="H568" s="20" t="str"/>
      <x:c r="I568" s="19" t="str">
        <x:v>GAS REPSOL MX</x:v>
      </x:c>
      <x:c r="J568" s="21" t="n">
        <x:v>1000.21</x:v>
      </x:c>
      <x:c r="K568" s="21"/>
      <x:c r="L568" s="21" t="n">
        <x:v>299206.15</x:v>
      </x:c>
      <x:c r="M568" s="22" t="n">
        <x:v>53</x:v>
      </x:c>
    </x:row>
    <x:row r="569" ht="30" customHeight="1">
      <x:c r="A569" s="16" t="n">
        <x:v>46265</x:v>
      </x:c>
      <x:c r="B569" s="17" t="str">
        <x:v>4131299264</x:v>
      </x:c>
      <x:c r="C569" s="18" t="str">
        <x:v>GAS REPSOL MX</x:v>
      </x:c>
      <x:c r="D569" s="18" t="str"/>
      <x:c r="E569" s="18" t="str"/>
      <x:c r="F569" s="17" t="str"/>
      <x:c r="G569" s="19" t="str"/>
      <x:c r="H569" s="20" t="str"/>
      <x:c r="I569" s="19" t="str">
        <x:v>GAS REPSOL MX</x:v>
      </x:c>
      <x:c r="J569" s="21" t="n">
        <x:v>830.77</x:v>
      </x:c>
      <x:c r="K569" s="21"/>
      <x:c r="L569" s="21" t="n">
        <x:v>298375.38</x:v>
      </x:c>
      <x:c r="M569" s="22" t="n">
        <x:v>53</x:v>
      </x:c>
    </x:row>
    <x:row r="570" ht="30" customHeight="1">
      <x:c r="A570" s="16" t="n">
        <x:v>46265</x:v>
      </x:c>
      <x:c r="B570" s="17" t="str">
        <x:v>4131299286</x:v>
      </x:c>
      <x:c r="C570" s="18" t="str">
        <x:v>TUNEL EXPRESS TECATE S MX</x:v>
      </x:c>
      <x:c r="D570" s="18" t="str"/>
      <x:c r="E570" s="18" t="str"/>
      <x:c r="F570" s="17" t="str"/>
      <x:c r="G570" s="19" t="str"/>
      <x:c r="H570" s="20" t="str"/>
      <x:c r="I570" s="19" t="str">
        <x:v>TUNEL EXPRESS TECATE S MX</x:v>
      </x:c>
      <x:c r="J570" s="21" t="n">
        <x:v>76</x:v>
      </x:c>
      <x:c r="K570" s="21"/>
      <x:c r="L570" s="21" t="n">
        <x:v>298299.38</x:v>
      </x:c>
      <x:c r="M570" s="22" t="n">
        <x:v>53</x:v>
      </x:c>
    </x:row>
    <x:row r="571" ht="30" customHeight="1">
      <x:c r="A571" s="16" t="n">
        <x:v>46265</x:v>
      </x:c>
      <x:c r="B571" s="17" t="str">
        <x:v>4131299301</x:v>
      </x:c>
      <x:c r="C571" s="18" t="str">
        <x:v>AUT SERV PINO PALL VIP MX</x:v>
      </x:c>
      <x:c r="D571" s="18" t="str"/>
      <x:c r="E571" s="18" t="str"/>
      <x:c r="F571" s="17" t="str"/>
      <x:c r="G571" s="19" t="str"/>
      <x:c r="H571" s="20" t="str"/>
      <x:c r="I571" s="19" t="str">
        <x:v>AUT SERV PINO PALL VIP MX</x:v>
      </x:c>
      <x:c r="J571" s="21" t="n">
        <x:v>200</x:v>
      </x:c>
      <x:c r="K571" s="21"/>
      <x:c r="L571" s="21" t="n">
        <x:v>298099.38</x:v>
      </x:c>
      <x:c r="M571" s="22" t="n">
        <x:v>53</x:v>
      </x:c>
    </x:row>
    <x:row r="572" ht="30" customHeight="1">
      <x:c r="A572" s="16" t="n">
        <x:v>46265</x:v>
      </x:c>
      <x:c r="B572" s="17" t="str">
        <x:v>4131651642</x:v>
      </x:c>
      <x:c r="C572" s="18" t="str">
        <x:v>DEPOSITO SPEI</x:v>
      </x:c>
      <x:c r="D572" s="18" t="str">
        <x:v>AMADA,PEREZ/ZAMUDIO</x:v>
      </x:c>
      <x:c r="E572" s="18" t="str">
        <x:v>BANAMEX</x:v>
      </x:c>
      <x:c r="F572" s="17" t="str">
        <x:v>CTA 002225904079920663</x:v>
      </x:c>
      <x:c r="G572" s="19" t="str">
        <x:v>310826 Manzana22lote33paloverdeBCS</x:v>
      </x:c>
      <x:c r="H572" s="20" t="str">
        <x:v>RASTREO 085905028514324364</x:v>
      </x:c>
      <x:c r="I572" s="19" t="str">
        <x:v>DEPOSITO SPEI | AMADA,PEREZ/ZAMUDIO | BANAMEX 002225904079920663 | 310826 Manzana22lote33paloverdeBCS | CLAVE DE RASTREO 085905028514324364</x:v>
      </x:c>
      <x:c r="J572" s="21"/>
      <x:c r="K572" s="21" t="n">
        <x:v>1500</x:v>
      </x:c>
      <x:c r="L572" s="21" t="n">
        <x:v>299599.38</x:v>
      </x:c>
      <x:c r="M572" s="22" t="n">
        <x:v>53</x:v>
      </x:c>
    </x:row>
    <x:row r="573" ht="30" customHeight="1">
      <x:c r="A573" s="16" t="n">
        <x:v>46265</x:v>
      </x:c>
      <x:c r="B573" s="17" t="str">
        <x:v>4131654179</x:v>
      </x:c>
      <x:c r="C573" s="18" t="str">
        <x:v>DEPOSITO SPEI</x:v>
      </x:c>
      <x:c r="D573" s="18" t="str">
        <x:v>AMADA,PEREZ/ZAMUDIO</x:v>
      </x:c>
      <x:c r="E573" s="18" t="str">
        <x:v>BANAMEX</x:v>
      </x:c>
      <x:c r="F573" s="17" t="str">
        <x:v>CTA 002225904079920663</x:v>
      </x:c>
      <x:c r="G573" s="19" t="str">
        <x:v>14 Manzana22lote34paloverdeBCS</x:v>
      </x:c>
      <x:c r="H573" s="20" t="str">
        <x:v>RASTREO 085905040824324369</x:v>
      </x:c>
      <x:c r="I573" s="19" t="str">
        <x:v>DEPOSITO SPEI | AMADA,PEREZ/ZAMUDIO | BANAMEX 002225904079920663 | 14 Manzana22lote34paloverdeBCS | CLAVE DE RASTREO 085905040824324369</x:v>
      </x:c>
      <x:c r="J573" s="21"/>
      <x:c r="K573" s="21" t="n">
        <x:v>1500</x:v>
      </x:c>
      <x:c r="L573" s="21" t="n">
        <x:v>301099.38</x:v>
      </x:c>
      <x:c r="M573" s="22" t="n">
        <x:v>53</x:v>
      </x:c>
    </x:row>
    <x:row r="574" ht="30" customHeight="1">
      <x:c r="A574" s="16" t="n">
        <x:v>46265</x:v>
      </x:c>
      <x:c r="B574" s="17" t="str">
        <x:v>4131861446</x:v>
      </x:c>
      <x:c r="C574" s="18" t="str">
        <x:v>DEPOSITO SPEI</x:v>
      </x:c>
      <x:c r="D574" s="18" t="str">
        <x:v>MELANI VANESSA SANCHEZ CRUZ</x:v>
      </x:c>
      <x:c r="E574" s="18" t="str">
        <x:v>BANCOPPEL</x:v>
      </x:c>
      <x:c r="F574" s="17" t="str">
        <x:v>CTA 137061104880046416</x:v>
      </x:c>
      <x:c r="G574" s="19" t="str">
        <x:v>3108260 mza26 lt47 palo verde vanessa mes sep 26</x:v>
      </x:c>
      <x:c r="H574" s="20" t="str">
        <x:v>RASTREO 50116416TRANSBPI76859961</x:v>
      </x:c>
      <x:c r="I574" s="19" t="str">
        <x:v>DEPOSITO SPEI | MELANI VANESSA SANCHEZ CRUZ | BANCOPPEL 137061104880046416 | 3108260 mza26 lt47 palo verde vanessa mes sep 26 | CLAVE DE RASTREO 50116416TRANSBPI76859961</x:v>
      </x:c>
      <x:c r="J574" s="21"/>
      <x:c r="K574" s="21" t="n">
        <x:v>1500</x:v>
      </x:c>
      <x:c r="L574" s="21" t="n">
        <x:v>302599.38</x:v>
      </x:c>
      <x:c r="M574" s="22" t="n">
        <x:v>53</x:v>
      </x:c>
    </x:row>
    <x:row r="575" ht="30" customHeight="1">
      <x:c r="A575" s="16" t="n">
        <x:v>46265</x:v>
      </x:c>
      <x:c r="B575" s="17" t="str">
        <x:v>4132053808</x:v>
      </x:c>
      <x:c r="C575" s="18" t="str">
        <x:v>DEPOSITO SPEI</x:v>
      </x:c>
      <x:c r="D575" s="18" t="str">
        <x:v>DANIELA GARCIA ZOPIYACTLE</x:v>
      </x:c>
      <x:c r="E575" s="18" t="str">
        <x:v>BBVA MEXICO</x:v>
      </x:c>
      <x:c r="F575" s="17" t="str">
        <x:v>CTA 012180015692216613</x:v>
      </x:c>
      <x:c r="G575" s="19" t="str">
        <x:v>1408260 M7L28DavidGarciaCuatra</x:v>
      </x:c>
      <x:c r="H575" s="20" t="str">
        <x:v>RASTREO MBAN01002608310051609908</x:v>
      </x:c>
      <x:c r="I575" s="19" t="str">
        <x:v>DEPOSITO SPEI | DANIELA GARCIA ZOPIYACTLE | BBVA MEXICO 012180015692216613 | 1408260 M7L28DavidGarciaCuatra | CLAVE DE RASTREO MBAN01002608310051609908</x:v>
      </x:c>
      <x:c r="J575" s="21"/>
      <x:c r="K575" s="21" t="n">
        <x:v>6706.97</x:v>
      </x:c>
      <x:c r="L575" s="21" t="n">
        <x:v>309306.35</x:v>
      </x:c>
      <x:c r="M575" s="22" t="n">
        <x:v>53</x:v>
      </x:c>
    </x:row>
    <x:row r="576" ht="30" customHeight="1">
      <x:c r="A576" s="16" t="n">
        <x:v>46265</x:v>
      </x:c>
      <x:c r="B576" s="17" t="str">
        <x:v>8202629527</x:v>
      </x:c>
      <x:c r="C576" s="18" t="str">
        <x:v>TRANSFERENCIA SPEI</x:v>
      </x:c>
      <x:c r="D576" s="18" t="str">
        <x:v>Vitropiso</x:v>
      </x:c>
      <x:c r="E576" s="18" t="str">
        <x:v>BBVA MEXICO</x:v>
      </x:c>
      <x:c r="F576" s="17" t="str">
        <x:v>CTA 012180015676012299</x:v>
      </x:c>
      <x:c r="G576" s="19" t="str">
        <x:v>20260831 Pago | 036NAPP31082026295273211 RFC NO DISPONIBLE</x:v>
      </x:c>
      <x:c r="H576" s="20" t="str"/>
      <x:c r="I576" s="19" t="str">
        <x:v>TRANSFERENCIA SPEI | Vitropiso | BBVA MEXICO 012180015676012299 | 20260831 Pago | 036NAPP31082026295273211 RFC NO DISPONIBLE</x:v>
      </x:c>
      <x:c r="J576" s="21" t="n">
        <x:v>500</x:v>
      </x:c>
      <x:c r="K576" s="21"/>
      <x:c r="L576" s="21" t="n">
        <x:v>308806.35</x:v>
      </x:c>
      <x:c r="M576" s="22" t="n">
        <x:v>53</x:v>
      </x:c>
    </x:row>
    <x:row r="577" ht="30" customHeight="1">
      <x:c r="A577" s="16" t="n">
        <x:v>46265</x:v>
      </x:c>
      <x:c r="B577" s="17" t="str">
        <x:v>8202629527</x:v>
      </x:c>
      <x:c r="C577" s="18" t="str">
        <x:v>TRANSFERENCIA SPEI</x:v>
      </x:c>
      <x:c r="D577" s="18" t="str">
        <x:v>FYMSA BAJA SUR SRL DE CV</x:v>
      </x:c>
      <x:c r="E577" s="18" t="str">
        <x:v>BBVA MEXICO</x:v>
      </x:c>
      <x:c r="F577" s="17" t="str">
        <x:v>CTA 012040001171445392</x:v>
      </x:c>
      <x:c r="G577" s="19" t="str">
        <x:v>20260831 Pago material | 036NAPP31082026295279671 RFC NO DISPONIBLE</x:v>
      </x:c>
      <x:c r="H577" s="20" t="str"/>
      <x:c r="I577" s="19" t="str">
        <x:v>TRANSFERENCIA SPEI | FYMSA BAJA SUR SRL DE CV | BBVA MEXICO 012040001171445392 | 20260831 Pago material | 036NAPP31082026295279671 RFC NO DISPONIBLE</x:v>
      </x:c>
      <x:c r="J577" s="21" t="n">
        <x:v>51002.54</x:v>
      </x:c>
      <x:c r="K577" s="21"/>
      <x:c r="L577" s="21" t="n">
        <x:v>257803.81</x:v>
      </x:c>
      <x:c r="M577" s="22" t="n">
        <x:v>53</x:v>
      </x:c>
    </x:row>
    <x:row r="578" ht="30" customHeight="1">
      <x:c r="A578" s="16" t="n">
        <x:v>46265</x:v>
      </x:c>
      <x:c r="B578" s="17" t="str">
        <x:v>4132257754</x:v>
      </x:c>
      <x:c r="C578" s="18" t="str">
        <x:v>DEPOSITO SPEI</x:v>
      </x:c>
      <x:c r="D578" s="18" t="str">
        <x:v>CAROLINA GONZALEZ GARCIA</x:v>
      </x:c>
      <x:c r="E578" s="18" t="str">
        <x:v>Mercado Pago W</x:v>
      </x:c>
      <x:c r="F578" s="17" t="str">
        <x:v>CTA 722969010164864656</x:v>
      </x:c>
      <x:c r="G578" s="19" t="str">
        <x:v>6152317 Carolina Glez Garcia Mza06 Lte15</x:v>
      </x:c>
      <x:c r="H578" s="20" t="str">
        <x:v>RASTREO CPO175596152317</x:v>
      </x:c>
      <x:c r="I578" s="19" t="str">
        <x:v>DEPOSITO SPEI | CAROLINA GONZALEZ GARCIA | Mercado Pago W 722969010164864656 | 6152317 Carolina Glez Garcia Mza06 Lte15 | CLAVE DE RASTREO CPO175596152317</x:v>
      </x:c>
      <x:c r="J578" s="21"/>
      <x:c r="K578" s="21" t="n">
        <x:v>1500</x:v>
      </x:c>
      <x:c r="L578" s="21" t="n">
        <x:v>259303.81</x:v>
      </x:c>
      <x:c r="M578" s="22" t="n">
        <x:v>53</x:v>
      </x:c>
    </x:row>
    <x:row r="579" ht="30" customHeight="1">
      <x:c r="A579" s="16" t="n">
        <x:v>46265</x:v>
      </x:c>
      <x:c r="B579" s="17" t="str">
        <x:v>4132323422</x:v>
      </x:c>
      <x:c r="C579" s="18" t="str">
        <x:v>ABTS PALMIRA MARKET SA MX</x:v>
      </x:c>
      <x:c r="D579" s="18" t="str"/>
      <x:c r="E579" s="18" t="str"/>
      <x:c r="F579" s="17" t="str"/>
      <x:c r="G579" s="19" t="str">
        <x:v>BANCO INBURSA, S.A. INSTITUCION DE BANCA MULTIPLE, GRUPO</x:v>
      </x:c>
      <x:c r="H579" s="20" t="str"/>
      <x:c r="I579" s="19" t="str">
        <x:v>ABTS PALMIRA MARKET SA MX | BANCO INBURSA, S.A. INSTITUCION DE BANCA MULTIPLE, GRUPO</x:v>
      </x:c>
      <x:c r="J579" s="21" t="n">
        <x:v>110</x:v>
      </x:c>
      <x:c r="K579" s="21"/>
      <x:c r="L579" s="21" t="n">
        <x:v>259193.81</x:v>
      </x:c>
      <x:c r="M579" s="22" t="n">
        <x:v>53</x:v>
      </x:c>
    </x:row>
    <x:row r="580" ht="30" customHeight="1">
      <x:c r="A580" s="16" t="n">
        <x:v>46265</x:v>
      </x:c>
      <x:c r="B580" s="17" t="str">
        <x:v>4132397804</x:v>
      </x:c>
      <x:c r="C580" s="18" t="str">
        <x:v>DEPOSITO SPEI</x:v>
      </x:c>
      <x:c r="D580" s="18" t="str">
        <x:v>FLORES VALENZUELA JOSE LEONARDO</x:v>
      </x:c>
      <x:c r="E580" s="18" t="str">
        <x:v>AZTECA</x:v>
      </x:c>
      <x:c r="F580" s="17" t="str">
        <x:v>CTA 127040013433068280</x:v>
      </x:c>
      <x:c r="G580" s="19" t="str">
        <x:v>1059321 PV M25 L3</x:v>
      </x:c>
      <x:c r="H580" s="20" t="str">
        <x:v>RASTREO 260831010877906691I</x:v>
      </x:c>
      <x:c r="I580" s="19" t="str">
        <x:v>DEPOSITO SPEI | FLORES VALENZUELA JOSE LEONARDO | AZTECA 127040013433068280 | 1059321 PV M25 L3 | CLAVE DE RASTREO 260831010877906691I</x:v>
      </x:c>
      <x:c r="J580" s="21"/>
      <x:c r="K580" s="21" t="n">
        <x:v>3000</x:v>
      </x:c>
      <x:c r="L580" s="21" t="n">
        <x:v>262193.81</x:v>
      </x:c>
      <x:c r="M580" s="22" t="n">
        <x:v>54</x:v>
      </x:c>
    </x:row>
    <x:row r="581" ht="30" customHeight="1">
      <x:c r="A581" s="16" t="n">
        <x:v>46265</x:v>
      </x:c>
      <x:c r="B581" s="17" t="str">
        <x:v>4132536002</x:v>
      </x:c>
      <x:c r="C581" s="18" t="str">
        <x:v>DEPOSITO SPEI</x:v>
      </x:c>
      <x:c r="D581" s="18" t="str">
        <x:v>ROSARIO MAGDALENA LEON NAVARRO</x:v>
      </x:c>
      <x:c r="E581" s="18" t="str">
        <x:v>BANORTE</x:v>
      </x:c>
      <x:c r="F581" s="17" t="str">
        <x:v>CTA 072040013721625121</x:v>
      </x:c>
      <x:c r="G581" s="19" t="str">
        <x:v>260831 Rosario magdaleon leon navarro M26 L48</x:v>
      </x:c>
      <x:c r="H581" s="20" t="str">
        <x:v>RASTREO 38432P03202608315717195869</x:v>
      </x:c>
      <x:c r="I581" s="19" t="str">
        <x:v>DEPOSITO SPEI | ROSARIO MAGDALENA LEON NAVARRO | BANORTE 072040013721625121 | 260831 Rosario magdaleon leon navarro M26 L48 | CLAVE DE RASTREO 38432P03202608315717195869</x:v>
      </x:c>
      <x:c r="J581" s="21"/>
      <x:c r="K581" s="21" t="n">
        <x:v>1500</x:v>
      </x:c>
      <x:c r="L581" s="21" t="n">
        <x:v>263693.81</x:v>
      </x:c>
      <x:c r="M581" s="22" t="n">
        <x:v>54</x:v>
      </x:c>
    </x:row>
    <x:row r="582" ht="30" customHeight="1">
      <x:c r="A582" s="16" t="n">
        <x:v>46265</x:v>
      </x:c>
      <x:c r="B582" s="17" t="str">
        <x:v>4132616578</x:v>
      </x:c>
      <x:c r="C582" s="18" t="str">
        <x:v>DEPOSITO SPEI</x:v>
      </x:c>
      <x:c r="D582" s="18" t="str">
        <x:v>JOSE ADRIAN GONZALEZ GONZALEZ</x:v>
      </x:c>
      <x:c r="E582" s="18" t="str">
        <x:v>BANORTE</x:v>
      </x:c>
      <x:c r="F582" s="17" t="str">
        <x:v>CTA 072041011426691930</x:v>
      </x:c>
      <x:c r="G582" s="19" t="str">
        <x:v>260831 Manzana 21 Lote 28 Jose Adrian Gonzalez</x:v>
      </x:c>
      <x:c r="H582" s="20" t="str">
        <x:v>RASTREO 38432P01202608315717452849</x:v>
      </x:c>
      <x:c r="I582" s="19" t="str">
        <x:v>DEPOSITO SPEI | JOSE ADRIAN GONZALEZ GONZALEZ | BANORTE 072041011426691930 | 260831 Manzana 21 Lote 28 Jose Adrian Gonzalez | CLAVE DE RASTREO 38432P01202608315717452849</x:v>
      </x:c>
      <x:c r="J582" s="21"/>
      <x:c r="K582" s="21" t="n">
        <x:v>1500</x:v>
      </x:c>
      <x:c r="L582" s="21" t="n">
        <x:v>265193.81</x:v>
      </x:c>
      <x:c r="M582" s="22" t="n">
        <x:v>54</x:v>
      </x:c>
    </x:row>
    <x:row r="583" ht="30" customHeight="1">
      <x:c r="A583" s="16" t="n">
        <x:v>46265</x:v>
      </x:c>
      <x:c r="B583" s="17" t="str">
        <x:v>4132633971</x:v>
      </x:c>
      <x:c r="C583" s="18" t="str">
        <x:v>DEPOSITO SPEI</x:v>
      </x:c>
      <x:c r="D583" s="18" t="str">
        <x:v>LUZ VALERIA CESEÑA LOPEZ</x:v>
      </x:c>
      <x:c r="E583" s="18" t="str">
        <x:v>BBVA MEXICO</x:v>
      </x:c>
      <x:c r="F583" s="17" t="str">
        <x:v>CTA 012045015046928786</x:v>
      </x:c>
      <x:c r="G583" s="19" t="str">
        <x:v>1408260 luz valeria ceseña lopez</x:v>
      </x:c>
      <x:c r="H583" s="20" t="str">
        <x:v>RASTREO MBAN01002608310053602933</x:v>
      </x:c>
      <x:c r="I583" s="19" t="str">
        <x:v>DEPOSITO SPEI | LUZ VALERIA CESEÑA LOPEZ | BBVA MEXICO 012045015046928786 | 1408260 luz valeria ceseña lopez | CLAVE DE RASTREO MBAN01002608310053602933</x:v>
      </x:c>
      <x:c r="J583" s="21"/>
      <x:c r="K583" s="21" t="n">
        <x:v>3000</x:v>
      </x:c>
      <x:c r="L583" s="21" t="n">
        <x:v>268193.81</x:v>
      </x:c>
      <x:c r="M583" s="22" t="n">
        <x:v>54</x:v>
      </x:c>
    </x:row>
    <x:row r="584" ht="30" customHeight="1">
      <x:c r="A584" s="16" t="n">
        <x:v>46265</x:v>
      </x:c>
      <x:c r="B584" s="17" t="str">
        <x:v>4132661062</x:v>
      </x:c>
      <x:c r="C584" s="18" t="str">
        <x:v>DEPOSITO SPEI</x:v>
      </x:c>
      <x:c r="D584" s="18" t="str">
        <x:v>ALYSSA REANNE DORANTES MARQUEZ</x:v>
      </x:c>
      <x:c r="E584" s="18" t="str">
        <x:v>BBVA MEXICO</x:v>
      </x:c>
      <x:c r="F584" s="17" t="str">
        <x:v>CTA 012180015079522519</x:v>
      </x:c>
      <x:c r="G584" s="19" t="str">
        <x:v>1408260 M26 L34</x:v>
      </x:c>
      <x:c r="H584" s="20" t="str">
        <x:v>RASTREO MBAN01002608310053715177</x:v>
      </x:c>
      <x:c r="I584" s="19" t="str">
        <x:v>DEPOSITO SPEI | ALYSSA REANNE DORANTES MARQUEZ | BBVA MEXICO 012180015079522519 | 1408260 M26 L34 | CLAVE DE RASTREO MBAN01002608310053715177</x:v>
      </x:c>
      <x:c r="J584" s="21"/>
      <x:c r="K584" s="21" t="n">
        <x:v>1500</x:v>
      </x:c>
      <x:c r="L584" s="21" t="n">
        <x:v>269693.81</x:v>
      </x:c>
      <x:c r="M584" s="22" t="n">
        <x:v>54</x:v>
      </x:c>
    </x:row>
    <x:row r="585" ht="30" customHeight="1">
      <x:c r="A585" s="16" t="n">
        <x:v>46265</x:v>
      </x:c>
      <x:c r="B585" s="17" t="str">
        <x:v>4132663158</x:v>
      </x:c>
      <x:c r="C585" s="18" t="str">
        <x:v>DEPOSITO SPEI</x:v>
      </x:c>
      <x:c r="D585" s="18" t="str">
        <x:v>ALYSSA REANNE DORANTES MARQUEZ</x:v>
      </x:c>
      <x:c r="E585" s="18" t="str">
        <x:v>BBVA MEXICO</x:v>
      </x:c>
      <x:c r="F585" s="17" t="str">
        <x:v>CTA 012180015079522519</x:v>
      </x:c>
      <x:c r="G585" s="19" t="str">
        <x:v>1408260 M26 L23</x:v>
      </x:c>
      <x:c r="H585" s="20" t="str">
        <x:v>RASTREO MBAN01002608310053727565</x:v>
      </x:c>
      <x:c r="I585" s="19" t="str">
        <x:v>DEPOSITO SPEI | ALYSSA REANNE DORANTES MARQUEZ | BBVA MEXICO 012180015079522519 | 1408260 M26 L23 | CLAVE DE RASTREO MBAN01002608310053727565</x:v>
      </x:c>
      <x:c r="J585" s="21"/>
      <x:c r="K585" s="21" t="n">
        <x:v>1500</x:v>
      </x:c>
      <x:c r="L585" s="21" t="n">
        <x:v>271193.81</x:v>
      </x:c>
      <x:c r="M585" s="22" t="n">
        <x:v>54</x:v>
      </x:c>
    </x:row>
    <x:row r="586" ht="30" customHeight="1">
      <x:c r="A586" s="16" t="n">
        <x:v>46265</x:v>
      </x:c>
      <x:c r="B586" s="17" t="str">
        <x:v>4132686519</x:v>
      </x:c>
      <x:c r="C586" s="18" t="str">
        <x:v>DEPOSITO SPEI</x:v>
      </x:c>
      <x:c r="D586" s="18" t="str">
        <x:v>ALAN ALEXIS DUEÑAS BAUTISTA</x:v>
      </x:c>
      <x:c r="E586" s="18" t="str">
        <x:v>BBVA MEXICO</x:v>
      </x:c>
      <x:c r="F586" s="17" t="str">
        <x:v>CTA 012180015415463067</x:v>
      </x:c>
      <x:c r="G586" s="19" t="str">
        <x:v>1408260 PVD M18-L09 Pago 16 ALAN DUEÑAS</x:v>
      </x:c>
      <x:c r="H586" s="20" t="str">
        <x:v>RASTREO MBAN01002608310053822019</x:v>
      </x:c>
      <x:c r="I586" s="19" t="str">
        <x:v>DEPOSITO SPEI | ALAN ALEXIS DUEÑAS BAUTISTA | BBVA MEXICO 012180015415463067 | 1408260 PVD M18-L09 Pago 16 ALAN DUEÑAS | CLAVE DE RASTREO MBAN01002608310053822019</x:v>
      </x:c>
      <x:c r="J586" s="21"/>
      <x:c r="K586" s="21" t="n">
        <x:v>1500</x:v>
      </x:c>
      <x:c r="L586" s="21" t="n">
        <x:v>272693.81</x:v>
      </x:c>
      <x:c r="M586" s="22" t="n">
        <x:v>54</x:v>
      </x:c>
    </x:row>
    <x:row r="587" ht="30" customHeight="1">
      <x:c r="A587" s="16" t="n">
        <x:v>46265</x:v>
      </x:c>
      <x:c r="B587" s="17" t="str">
        <x:v>4132719130</x:v>
      </x:c>
      <x:c r="C587" s="18" t="str">
        <x:v>DEPOSITO SPEI</x:v>
      </x:c>
      <x:c r="D587" s="18" t="str">
        <x:v>RUBEN EDUARDO GARCIGLIA ESCOBAR</x:v>
      </x:c>
      <x:c r="E587" s="18" t="str">
        <x:v>BBVA MEXICO</x:v>
      </x:c>
      <x:c r="F587" s="17" t="str">
        <x:v>CTA 012041015669067688</x:v>
      </x:c>
      <x:c r="G587" s="19" t="str">
        <x:v>2206260 PVD M10-L18 RUBEN E GARCIGLIA ESCOBAR</x:v>
      </x:c>
      <x:c r="H587" s="20" t="str">
        <x:v>RASTREO MBAN01002608310053960825</x:v>
      </x:c>
      <x:c r="I587" s="19" t="str">
        <x:v>DEPOSITO SPEI | RUBEN EDUARDO GARCIGLIA ESCOBAR | BBVA MEXICO 012041015669067688 | 2206260 PVD M10-L18 RUBEN E GARCIGLIA ESCOBAR | CLAVE DE RASTREO MBAN01002608310053960825</x:v>
      </x:c>
      <x:c r="J587" s="21"/>
      <x:c r="K587" s="21" t="n">
        <x:v>2945</x:v>
      </x:c>
      <x:c r="L587" s="21" t="n">
        <x:v>275638.81</x:v>
      </x:c>
      <x:c r="M587" s="22" t="n">
        <x:v>54</x:v>
      </x:c>
    </x:row>
    <x:row r="588" ht="30" customHeight="1">
      <x:c r="A588" s="16" t="n">
        <x:v>46265</x:v>
      </x:c>
      <x:c r="B588" s="17" t="str">
        <x:v>4132743632</x:v>
      </x:c>
      <x:c r="C588" s="18" t="str">
        <x:v>DEPOSITO SPEI</x:v>
      </x:c>
      <x:c r="D588" s="18" t="str">
        <x:v>MARIA CONCEPCION,OSUNA/LOPEZ</x:v>
      </x:c>
      <x:c r="E588" s="18" t="str">
        <x:v>BANAMEX</x:v>
      </x:c>
      <x:c r="F588" s="17" t="str">
        <x:v>CTA 002027001377671126</x:v>
      </x:c>
      <x:c r="G588" s="19" t="str">
        <x:v>310826 pago mes Septiembre 2026 M12 L30 y L31</x:v>
      </x:c>
      <x:c r="H588" s="20" t="str">
        <x:v>RASTREO 085901927954324363</x:v>
      </x:c>
      <x:c r="I588" s="19" t="str">
        <x:v>DEPOSITO SPEI | MARIA CONCEPCION,OSUNA/LOPEZ | BANAMEX 002027001377671126 | 310826 pago mes Septiembre 2026 M12 L30 y L31 | CLAVE DE RASTREO 085901927954324363</x:v>
      </x:c>
      <x:c r="J588" s="21"/>
      <x:c r="K588" s="21" t="n">
        <x:v>3000</x:v>
      </x:c>
      <x:c r="L588" s="21" t="n">
        <x:v>278638.81</x:v>
      </x:c>
      <x:c r="M588" s="22" t="n">
        <x:v>54</x:v>
      </x:c>
    </x:row>
    <x:row r="589" ht="30" customHeight="1">
      <x:c r="A589" s="16" t="n">
        <x:v>46265</x:v>
      </x:c>
      <x:c r="B589" s="17" t="str">
        <x:v>4132853532</x:v>
      </x:c>
      <x:c r="C589" s="18" t="str">
        <x:v>DEPOSITO SPEI</x:v>
      </x:c>
      <x:c r="D589" s="18" t="str">
        <x:v>KAREN YUSHARA MONTES DE OCA MACIAS</x:v>
      </x:c>
      <x:c r="E589" s="18" t="str">
        <x:v>BBVA MEXICO</x:v>
      </x:c>
      <x:c r="F589" s="17" t="str">
        <x:v>CTA 012045015115927537</x:v>
      </x:c>
      <x:c r="G589" s="19" t="str">
        <x:v>3107260 KAREN MONTES DE OCA M15 L2</x:v>
      </x:c>
      <x:c r="H589" s="20" t="str">
        <x:v>RASTREO MBAN01002608310054594034</x:v>
      </x:c>
      <x:c r="I589" s="19" t="str">
        <x:v>DEPOSITO SPEI | KAREN YUSHARA MONTES DE OCA MACIAS | BBVA MEXICO 012045015115927537 | 3107260 KAREN MONTES DE OCA M15 L2 | CLAVE DE RASTREO MBAN01002608310054594034</x:v>
      </x:c>
      <x:c r="J589" s="21"/>
      <x:c r="K589" s="21" t="n">
        <x:v>1500</x:v>
      </x:c>
      <x:c r="L589" s="21" t="n">
        <x:v>280138.81</x:v>
      </x:c>
      <x:c r="M589" s="22" t="n">
        <x:v>54</x:v>
      </x:c>
    </x:row>
    <x:row r="590" ht="30" customHeight="1">
      <x:c r="A590" s="16" t="n">
        <x:v>46265</x:v>
      </x:c>
      <x:c r="B590" s="17" t="str">
        <x:v>4132929943</x:v>
      </x:c>
      <x:c r="C590" s="18" t="str">
        <x:v>DEPOSITO SPEI</x:v>
      </x:c>
      <x:c r="D590" s="18" t="str">
        <x:v>VICTOR ALEJANDRO GARCIGLIA MARQUEZ</x:v>
      </x:c>
      <x:c r="E590" s="18" t="str">
        <x:v>NUBANK</x:v>
      </x:c>
      <x:c r="F590" s="17" t="str">
        <x:v>CTA 638180010150063787</x:v>
      </x:c>
      <x:c r="G590" s="19" t="str">
        <x:v>310826 PVD MZA 10 LOTE 17 ALEJANDRO GARCIGLIA</x:v>
      </x:c>
      <x:c r="H590" s="20" t="str">
        <x:v>RASTREO NU3AIOC44PCO9VMO70LRDQFMRKJC</x:v>
      </x:c>
      <x:c r="I590" s="19" t="str">
        <x:v>DEPOSITO SPEI | VICTOR ALEJANDRO GARCIGLIA MARQUEZ | NUBANK 638180010150063787 | 310826 PVD MZA 10 LOTE 17 ALEJANDRO GARCIGLIA | CLAVE DE RASTREO NU3AIOC44PCO9VMO70LRDQFMRKJC</x:v>
      </x:c>
      <x:c r="J590" s="21"/>
      <x:c r="K590" s="21" t="n">
        <x:v>2945</x:v>
      </x:c>
      <x:c r="L590" s="21" t="n">
        <x:v>283083.81</x:v>
      </x:c>
      <x:c r="M590" s="22" t="n">
        <x:v>55</x:v>
      </x:c>
    </x:row>
    <x:row r="591" ht="30" customHeight="1">
      <x:c r="A591" s="16" t="n">
        <x:v>46265</x:v>
      </x:c>
      <x:c r="B591" s="17" t="str">
        <x:v>4133127154</x:v>
      </x:c>
      <x:c r="C591" s="18" t="str">
        <x:v>DEPOSITO SPEI</x:v>
      </x:c>
      <x:c r="D591" s="18" t="str">
        <x:v>ADRIEL ANTONIO NIETO HIGUERA</x:v>
      </x:c>
      <x:c r="E591" s="18" t="str">
        <x:v>BANCOPPEL</x:v>
      </x:c>
      <x:c r="F591" s="17" t="str">
        <x:v>CTA 137040102617921471</x:v>
      </x:c>
      <x:c r="G591" s="19" t="str">
        <x:v>3108261 AdrielantonionietohigueraL6M2</x:v>
      </x:c>
      <x:c r="H591" s="20" t="str">
        <x:v>RASTREO 50111471TRANSBPI89090260</x:v>
      </x:c>
      <x:c r="I591" s="19" t="str">
        <x:v>DEPOSITO SPEI | ADRIEL ANTONIO NIETO HIGUERA | BANCOPPEL 137040102617921471 | 3108261 AdrielantonionietohigueraL6M2 | CLAVE DE RASTREO 50111471TRANSBPI89090260</x:v>
      </x:c>
      <x:c r="J591" s="21"/>
      <x:c r="K591" s="21" t="n">
        <x:v>1500</x:v>
      </x:c>
      <x:c r="L591" s="21" t="n">
        <x:v>284583.81</x:v>
      </x:c>
      <x:c r="M591" s="22" t="n">
        <x:v>55</x:v>
      </x:c>
    </x:row>
    <x:row r="592" ht="30" customHeight="1">
      <x:c r="A592" s="16" t="n">
        <x:v>46265</x:v>
      </x:c>
      <x:c r="B592" s="17" t="str">
        <x:v>4133207222</x:v>
      </x:c>
      <x:c r="C592" s="18" t="str">
        <x:v>DEPOSITO SPEI</x:v>
      </x:c>
      <x:c r="D592" s="18" t="str">
        <x:v>JUANA LORENA PEREZ ZAMUDIO</x:v>
      </x:c>
      <x:c r="E592" s="18" t="str">
        <x:v>BBVA MEXICO</x:v>
      </x:c>
      <x:c r="F592" s="17" t="str">
        <x:v>CTA 012040015726608981</x:v>
      </x:c>
      <x:c r="G592" s="19" t="str">
        <x:v>1408260 M-21 L-7Anual-1 JLorena Perez Zamudio</x:v>
      </x:c>
      <x:c r="H592" s="20" t="str">
        <x:v>RASTREO MBAN01002609010056651702</x:v>
      </x:c>
      <x:c r="I592" s="19" t="str">
        <x:v>DEPOSITO SPEI | JUANA LORENA PEREZ ZAMUDIO | BBVA MEXICO 012040015726608981 | 1408260 M-21 L-7Anual-1 JLorena Perez Zamudio | CLAVE DE RASTREO MBAN01002609010056651702</x:v>
      </x:c>
      <x:c r="J592" s="21"/>
      <x:c r="K592" s="21" t="n">
        <x:v>10667</x:v>
      </x:c>
      <x:c r="L592" s="21" t="n">
        <x:v>295250.81</x:v>
      </x:c>
      <x:c r="M592" s="22" t="n">
        <x:v>55</x:v>
      </x:c>
    </x:row>
    <x:row r="593" ht="30" customHeight="1">
      <x:c r="A593" s="16" t="n">
        <x:v>46265</x:v>
      </x:c>
      <x:c r="B593" s="17" t="str">
        <x:v>4133277915</x:v>
      </x:c>
      <x:c r="C593" s="18" t="str">
        <x:v>DEPOSITO SPEI</x:v>
      </x:c>
      <x:c r="D593" s="18" t="str">
        <x:v>ISIS IRALY RUIZ VENEGAS</x:v>
      </x:c>
      <x:c r="E593" s="18" t="str">
        <x:v>BBVA MEXICO</x:v>
      </x:c>
      <x:c r="F593" s="17" t="str">
        <x:v>CTA 012180015710413987</x:v>
      </x:c>
      <x:c r="G593" s="19" t="str">
        <x:v>1408260 PV M13 L7 ISIS RUIZ</x:v>
      </x:c>
      <x:c r="H593" s="20" t="str">
        <x:v>RASTREO MBAN01002609010057254424</x:v>
      </x:c>
      <x:c r="I593" s="19" t="str">
        <x:v>DEPOSITO SPEI | ISIS IRALY RUIZ VENEGAS | BBVA MEXICO 012180015710413987 | 1408260 PV M13 L7 ISIS RUIZ | CLAVE DE RASTREO MBAN01002609010057254424</x:v>
      </x:c>
      <x:c r="J593" s="21"/>
      <x:c r="K593" s="21" t="n">
        <x:v>1500</x:v>
      </x:c>
      <x:c r="L593" s="21" t="n">
        <x:v>296750.81</x:v>
      </x:c>
      <x:c r="M593" s="22" t="n">
        <x:v>55</x:v>
      </x:c>
    </x:row>
    <x:row r="594" ht="30" customHeight="1">
      <x:c r="A594" s="16" t="n">
        <x:v>46265</x:v>
      </x:c>
      <x:c r="B594" s="17" t="str">
        <x:v>4133872434</x:v>
      </x:c>
      <x:c r="C594" s="18" t="str">
        <x:v>INTERESES GANADOS</x:v>
      </x:c>
      <x:c r="D594" s="18" t="str"/>
      <x:c r="E594" s="18" t="str"/>
      <x:c r="F594" s="17" t="str"/>
      <x:c r="G594" s="19" t="str"/>
      <x:c r="H594" s="20" t="str"/>
      <x:c r="I594" s="19" t="str">
        <x:v>INTERESES GANADOS</x:v>
      </x:c>
      <x:c r="J594" s="21"/>
      <x:c r="K594" s="21" t="n">
        <x:v>1722.95</x:v>
      </x:c>
      <x:c r="L594" s="21" t="n">
        <x:v>298473.76</x:v>
      </x:c>
      <x:c r="M594" s="22" t="n">
        <x:v>55</x:v>
      </x:c>
    </x:row>
    <x:row r="595" ht="30" customHeight="1">
      <x:c r="A595" s="16" t="n">
        <x:v>46265</x:v>
      </x:c>
      <x:c r="B595" s="17" t="str">
        <x:v>4133872434</x:v>
      </x:c>
      <x:c r="C595" s="18" t="str">
        <x:v>ISR RETENIDO</x:v>
      </x:c>
      <x:c r="D595" s="18" t="str"/>
      <x:c r="E595" s="18" t="str"/>
      <x:c r="F595" s="17" t="str"/>
      <x:c r="G595" s="19" t="str"/>
      <x:c r="H595" s="20" t="str"/>
      <x:c r="I595" s="19" t="str">
        <x:v>ISR RETENIDO</x:v>
      </x:c>
      <x:c r="J595" s="21" t="n">
        <x:v>82.49</x:v>
      </x:c>
      <x:c r="K595" s="21"/>
      <x:c r="L595" s="21" t="n">
        <x:v>298391.27</x:v>
      </x:c>
      <x:c r="M595" s="22" t="n">
        <x:v>55</x:v>
      </x:c>
    </x:row>
    <x:row r="596" ht="30" customHeight="1">
      <x:c r="A596" s="16" t="n">
        <x:v>46265</x:v>
      </x:c>
      <x:c r="B596" s="17" t="str">
        <x:v>4133872434</x:v>
      </x:c>
      <x:c r="C596" s="18" t="str">
        <x:v>ADMINISTRACION - RENTA</x:v>
      </x:c>
      <x:c r="D596" s="18" t="str"/>
      <x:c r="E596" s="18" t="str"/>
      <x:c r="F596" s="17" t="str"/>
      <x:c r="G596" s="19" t="str"/>
      <x:c r="H596" s="20" t="str"/>
      <x:c r="I596" s="19" t="str">
        <x:v>ADMINISTRACION - RENTA</x:v>
      </x:c>
      <x:c r="J596" s="21" t="n">
        <x:v>275</x:v>
      </x:c>
      <x:c r="K596" s="21"/>
      <x:c r="L596" s="21" t="n">
        <x:v>298116.27</x:v>
      </x:c>
      <x:c r="M596" s="22" t="n">
        <x:v>55</x:v>
      </x:c>
    </x:row>
    <x:row r="597" ht="30" customHeight="1">
      <x:c r="A597" s="23" t="n">
        <x:v>46265</x:v>
      </x:c>
      <x:c r="B597" s="24" t="str">
        <x:v>4133872434</x:v>
      </x:c>
      <x:c r="C597" s="25" t="str">
        <x:v>IVA ADMINISTRACION - RENTA</x:v>
      </x:c>
      <x:c r="D597" s="25" t="str"/>
      <x:c r="E597" s="25" t="str"/>
      <x:c r="F597" s="24" t="str"/>
      <x:c r="G597" s="26" t="str">
        <x:v>Tasa IVA 16.0%</x:v>
      </x:c>
      <x:c r="H597" s="27" t="str"/>
      <x:c r="I597" s="26" t="str">
        <x:v>IVA ADMINISTRACION - RENTA | Tasa IVA 16.0%</x:v>
      </x:c>
      <x:c r="J597" s="28" t="n">
        <x:v>44</x:v>
      </x:c>
      <x:c r="K597" s="28"/>
      <x:c r="L597" s="28" t="n">
        <x:v>298072.27</x:v>
      </x:c>
      <x:c r="M597" s="29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c644eee09b0348a0"/>
  </x:tableParts>
</x:worksheet>
</file>